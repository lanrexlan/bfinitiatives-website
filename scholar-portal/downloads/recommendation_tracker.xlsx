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16B3651-E323-4F83-A4DC-BC53B2DEEB0D}" xr6:coauthVersionLast="47" xr6:coauthVersionMax="47" xr10:uidLastSave="{00000000-0000-0000-0000-000000000000}"/>
  <bookViews>
    <workbookView xWindow="-120" yWindow="-120" windowWidth="20730" windowHeight="11040" activeTab="1" xr2:uid="{D61E05B2-0544-4B82-B41F-DE6D2192A6E3}"/>
  </bookViews>
  <sheets>
    <sheet name="Dashboard" sheetId="1" r:id="rId1"/>
    <sheet name="Recommendations" sheetId="10" r:id="rId2"/>
    <sheet name="Students" sheetId="11" r:id="rId3"/>
    <sheet name="Referees" sheetId="12" r:id="rId4"/>
    <sheet name="Scholarships" sheetId="1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6" i="1"/>
  <c r="D5" i="1"/>
  <c r="D4" i="1"/>
</calcChain>
</file>

<file path=xl/sharedStrings.xml><?xml version="1.0" encoding="utf-8"?>
<sst xmlns="http://schemas.openxmlformats.org/spreadsheetml/2006/main" count="237" uniqueCount="181">
  <si>
    <t>International Scholarship Recommendation Tracker</t>
  </si>
  <si>
    <t>Total Recommendations:</t>
  </si>
  <si>
    <t>Pending Requests:</t>
  </si>
  <si>
    <t>Completed:</t>
  </si>
  <si>
    <t>In Progress:</t>
  </si>
  <si>
    <t>Quick Actions:</t>
  </si>
  <si>
    <t>Rec ID</t>
  </si>
  <si>
    <t>Student Name</t>
  </si>
  <si>
    <t>Referee Name</t>
  </si>
  <si>
    <t>Scholarship</t>
  </si>
  <si>
    <t>Request Date</t>
  </si>
  <si>
    <t>Status</t>
  </si>
  <si>
    <t>Due Date</t>
  </si>
  <si>
    <t>Submission Date</t>
  </si>
  <si>
    <t>Priority</t>
  </si>
  <si>
    <t>Notes</t>
  </si>
  <si>
    <t>Student ID</t>
  </si>
  <si>
    <t>Full Name</t>
  </si>
  <si>
    <t>Email</t>
  </si>
  <si>
    <t>Country</t>
  </si>
  <si>
    <t>Field of Study</t>
  </si>
  <si>
    <t>GPA</t>
  </si>
  <si>
    <t>Contact Number</t>
  </si>
  <si>
    <t>University</t>
  </si>
  <si>
    <t>Referee ID</t>
  </si>
  <si>
    <t>Title</t>
  </si>
  <si>
    <t>Institution</t>
  </si>
  <si>
    <t>Phone</t>
  </si>
  <si>
    <t>Specialization</t>
  </si>
  <si>
    <t>Response Rate</t>
  </si>
  <si>
    <t>Scholarship ID</t>
  </si>
  <si>
    <t>Scholarship Name</t>
  </si>
  <si>
    <t>Organization</t>
  </si>
  <si>
    <t>Deadline</t>
  </si>
  <si>
    <t>Level</t>
  </si>
  <si>
    <t>Field</t>
  </si>
  <si>
    <t>Value (USD)</t>
  </si>
  <si>
    <t>STU001</t>
  </si>
  <si>
    <t>Emily Chen</t>
  </si>
  <si>
    <t>emily.chen@email.com</t>
  </si>
  <si>
    <t>Singapore</t>
  </si>
  <si>
    <t>Computer Science</t>
  </si>
  <si>
    <t>+65-9123-4567</t>
  </si>
  <si>
    <t>National University of Singapore</t>
  </si>
  <si>
    <t>STU002</t>
  </si>
  <si>
    <t>Ahmed Hassan</t>
  </si>
  <si>
    <t>ahmed.hassan@email.com</t>
  </si>
  <si>
    <t>Egypt</t>
  </si>
  <si>
    <t>Engineering</t>
  </si>
  <si>
    <t>+20-123-456-789</t>
  </si>
  <si>
    <t>Cairo University</t>
  </si>
  <si>
    <t>STU003</t>
  </si>
  <si>
    <t>Maria Rodriguez</t>
  </si>
  <si>
    <t>maria.rodriguez@email.com</t>
  </si>
  <si>
    <t>Mexico</t>
  </si>
  <si>
    <t>Medicine</t>
  </si>
  <si>
    <t>+52-555-123-456</t>
  </si>
  <si>
    <t>UNAM</t>
  </si>
  <si>
    <t>STU004</t>
  </si>
  <si>
    <t>David Kim</t>
  </si>
  <si>
    <t>david.kim@email.com</t>
  </si>
  <si>
    <t>South Korea</t>
  </si>
  <si>
    <t>Economics</t>
  </si>
  <si>
    <t>+82-10-1234-5678</t>
  </si>
  <si>
    <t>Seoul National University</t>
  </si>
  <si>
    <t>STU005</t>
  </si>
  <si>
    <t>Sarah Johnson</t>
  </si>
  <si>
    <t>sarah.johnson@email.com</t>
  </si>
  <si>
    <t>Canada</t>
  </si>
  <si>
    <t>Environmental Science</t>
  </si>
  <si>
    <t>+1-416-555-0123</t>
  </si>
  <si>
    <t>University of Toronto</t>
  </si>
  <si>
    <t>STU006</t>
  </si>
  <si>
    <t>Raj Patel</t>
  </si>
  <si>
    <t>raj.patel@email.com</t>
  </si>
  <si>
    <t>India</t>
  </si>
  <si>
    <t>Physics</t>
  </si>
  <si>
    <t>+91-98765-43210</t>
  </si>
  <si>
    <t>IIT Bombay</t>
  </si>
  <si>
    <t>STU007</t>
  </si>
  <si>
    <t>Anna Kowalski</t>
  </si>
  <si>
    <t>anna.kowalski@email.com</t>
  </si>
  <si>
    <t>Poland</t>
  </si>
  <si>
    <t>International Relations</t>
  </si>
  <si>
    <t>+48-123-456-789</t>
  </si>
  <si>
    <t>University of Warsaw</t>
  </si>
  <si>
    <t>REF001</t>
  </si>
  <si>
    <t>Dr. James Wilson</t>
  </si>
  <si>
    <t>Professor</t>
  </si>
  <si>
    <t>MIT</t>
  </si>
  <si>
    <t>j.wilson@mit.edu</t>
  </si>
  <si>
    <t>+1-617-555-0101</t>
  </si>
  <si>
    <t>REF002</t>
  </si>
  <si>
    <t>Prof. Lisa Zhang</t>
  </si>
  <si>
    <t>Associate Professor</t>
  </si>
  <si>
    <t>Stanford University</t>
  </si>
  <si>
    <t>l.zhang@stanford.edu</t>
  </si>
  <si>
    <t>+1-650-555-0102</t>
  </si>
  <si>
    <t>REF003</t>
  </si>
  <si>
    <t>Dr. Michael Brown</t>
  </si>
  <si>
    <t>Department Head</t>
  </si>
  <si>
    <t>Harvard Medical School</t>
  </si>
  <si>
    <t>m.brown@harvard.edu</t>
  </si>
  <si>
    <t>+1-617-555-0103</t>
  </si>
  <si>
    <t>REF004</t>
  </si>
  <si>
    <t>Prof. Elena Garcia</t>
  </si>
  <si>
    <t>Senior Lecturer</t>
  </si>
  <si>
    <t>Oxford University</t>
  </si>
  <si>
    <t>e.garcia@oxford.ac.uk</t>
  </si>
  <si>
    <t>+44-1865-555-0104</t>
  </si>
  <si>
    <t>REF005</t>
  </si>
  <si>
    <t>Dr. Robert Taylor</t>
  </si>
  <si>
    <t>Research Director</t>
  </si>
  <si>
    <t>Cambridge University</t>
  </si>
  <si>
    <t>r.taylor@cam.ac.uk</t>
  </si>
  <si>
    <t>+44-1223-555-0105</t>
  </si>
  <si>
    <t>REF006</t>
  </si>
  <si>
    <t>Prof. Yuki Tanaka</t>
  </si>
  <si>
    <t>University of Tokyo</t>
  </si>
  <si>
    <t>y.tanaka@u-tokyo.ac.jp</t>
  </si>
  <si>
    <t>+81-3-5555-0106</t>
  </si>
  <si>
    <t>SCH001</t>
  </si>
  <si>
    <t>Rhodes Scholarship</t>
  </si>
  <si>
    <t>UK</t>
  </si>
  <si>
    <t>Rhodes Trust</t>
  </si>
  <si>
    <t>Graduate</t>
  </si>
  <si>
    <t>Any</t>
  </si>
  <si>
    <t>SCH002</t>
  </si>
  <si>
    <t>Fulbright Program</t>
  </si>
  <si>
    <t>USA</t>
  </si>
  <si>
    <t>US State Department</t>
  </si>
  <si>
    <t>Graduate/PhD</t>
  </si>
  <si>
    <t>SCH003</t>
  </si>
  <si>
    <t>DAAD Scholarship</t>
  </si>
  <si>
    <t>Germany</t>
  </si>
  <si>
    <t>DAAD</t>
  </si>
  <si>
    <t>Engineering/Science</t>
  </si>
  <si>
    <t>$1,200/month</t>
  </si>
  <si>
    <t>SCH004</t>
  </si>
  <si>
    <t>Chevening Scholarship</t>
  </si>
  <si>
    <t>UK Government</t>
  </si>
  <si>
    <t>Masters</t>
  </si>
  <si>
    <t>SCH005</t>
  </si>
  <si>
    <t>Australia Awards</t>
  </si>
  <si>
    <t>Australia</t>
  </si>
  <si>
    <t>Australian Government</t>
  </si>
  <si>
    <t>Development Studies</t>
  </si>
  <si>
    <t>SCH006</t>
  </si>
  <si>
    <t>Swiss Government Excellence</t>
  </si>
  <si>
    <t>Switzerland</t>
  </si>
  <si>
    <t>Swiss Government</t>
  </si>
  <si>
    <t>PhD</t>
  </si>
  <si>
    <t>Research</t>
  </si>
  <si>
    <t>SCH007</t>
  </si>
  <si>
    <t>Eiffel Excellence Program</t>
  </si>
  <si>
    <t>France</t>
  </si>
  <si>
    <t>French Ministry</t>
  </si>
  <si>
    <t>Masters/PhD</t>
  </si>
  <si>
    <t>REC001</t>
  </si>
  <si>
    <t>In Progress</t>
  </si>
  <si>
    <t>High</t>
  </si>
  <si>
    <t>First draft received, needs revision</t>
  </si>
  <si>
    <t>REC002</t>
  </si>
  <si>
    <t>Pending</t>
  </si>
  <si>
    <t>Medium</t>
  </si>
  <si>
    <t>Initial request sent</t>
  </si>
  <si>
    <t>REC003</t>
  </si>
  <si>
    <t>Completed</t>
  </si>
  <si>
    <t>Excellent recommendation submitted</t>
  </si>
  <si>
    <t>REC004</t>
  </si>
  <si>
    <t>Strong academic focus</t>
  </si>
  <si>
    <t>REC005</t>
  </si>
  <si>
    <t>Meeting scheduled for next week</t>
  </si>
  <si>
    <t>REC006</t>
  </si>
  <si>
    <t>Waiting for referee response</t>
  </si>
  <si>
    <t>REC007</t>
  </si>
  <si>
    <t>Second recommendation for same student</t>
  </si>
  <si>
    <t>REC008</t>
  </si>
  <si>
    <t>Backup application</t>
  </si>
  <si>
    <t>REC009</t>
  </si>
  <si>
    <t>Medical school 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</si>
</sst>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3CB371"/>
        <bgColor indexed="64"/>
      </patternFill>
    </fill>
    <fill>
      <patternFill patternType="solid">
        <fgColor rgb="FFFF8C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0" fillId="2" borderId="1" xfId="0" applyFill="1" applyBorder="1"/>
    <xf numFmtId="0" fontId="1" fillId="2" borderId="1" xfId="0" applyFont="1" applyFill="1" applyBorder="1"/>
    <xf numFmtId="0" fontId="3" fillId="2" borderId="1" xfId="0" applyFont="1" applyFill="1" applyBorder="1"/>
    <xf numFmtId="0" fontId="4" fillId="3" borderId="2" xfId="0" applyFont="1" applyFill="1" applyBorder="1"/>
    <xf numFmtId="0" fontId="0" fillId="0" borderId="2" xfId="0" applyBorder="1"/>
    <xf numFmtId="14" fontId="0" fillId="0" borderId="2" xfId="0" applyNumberFormat="1" applyBorder="1"/>
    <xf numFmtId="0" fontId="4" fillId="4" borderId="2" xfId="0" applyFont="1" applyFill="1" applyBorder="1"/>
    <xf numFmtId="0" fontId="4" fillId="5" borderId="2" xfId="0" applyFont="1" applyFill="1" applyBorder="1"/>
    <xf numFmtId="9" fontId="0" fillId="0" borderId="2" xfId="0" applyNumberFormat="1" applyBorder="1"/>
    <xf numFmtId="0" fontId="4" fillId="6" borderId="2" xfId="0" applyFont="1" applyFill="1" applyBorder="1"/>
    <xf numFmtId="6" fontId="0" fillId="0" borderId="2" xfId="0" applyNumberFormat="1" applyBorder="1"/>
  </cellXfs>
  <cellStyles count="1">
    <cellStyle name="Normal" xfId="0" builtinId="0"/>
  </cellStyles>
  <dxfs count="4">
    <dxf>
      <fill>
        <patternFill>
          <bgColor rgb="FFF0F8FF"/>
        </patternFill>
      </fill>
    </dxf>
    <dxf>
      <fill>
        <patternFill>
          <bgColor rgb="FFF0F8FF"/>
        </patternFill>
      </fill>
    </dxf>
    <dxf>
      <fill>
        <patternFill>
          <bgColor rgb="FFF0F8FF"/>
        </patternFill>
      </fill>
    </dxf>
    <dxf>
      <fill>
        <patternFill>
          <bgColor rgb="FFF0F8FF"/>
        </patternFill>
      </fill>
    </dxf>
  </dxfs>
  <tableStyles count="1" defaultTableStyle="TableStyleMedium2" defaultPivotStyle="PivotStyleLight16">
    <tableStyle name="Invisible" pivot="0" table="0" count="0" xr9:uid="{D358469F-BCF6-4539-BD1A-AD9C61778F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3346-BCC1-4F9C-8327-E6EDBCA6F0A1}">
  <sheetPr codeName="Sheet1"/>
  <dimension ref="A1:J10"/>
  <sheetViews>
    <sheetView workbookViewId="0">
      <selection activeCell="C6" sqref="C6"/>
    </sheetView>
  </sheetViews>
  <sheetFormatPr defaultRowHeight="15" x14ac:dyDescent="0.25"/>
  <sheetData>
    <row r="1" spans="1:10" ht="26.2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spans="1:10" x14ac:dyDescent="0.25">
      <c r="B4" s="4" t="s">
        <v>1</v>
      </c>
      <c r="C4" s="3"/>
      <c r="D4" s="5">
        <f>COUNTA(Recommendations!A:A)-1</f>
        <v>9</v>
      </c>
    </row>
    <row r="5" spans="1:10" x14ac:dyDescent="0.25">
      <c r="B5" s="4" t="s">
        <v>2</v>
      </c>
      <c r="C5" s="3"/>
      <c r="D5" s="5">
        <f>COUNTIF(Recommendations!F:F,"Pending")</f>
        <v>3</v>
      </c>
    </row>
    <row r="6" spans="1:10" x14ac:dyDescent="0.25">
      <c r="B6" s="4" t="s">
        <v>3</v>
      </c>
      <c r="C6" s="3"/>
      <c r="D6" s="5">
        <f>COUNTIF(Recommendations!F:F,"Completed")</f>
        <v>2</v>
      </c>
    </row>
    <row r="7" spans="1:10" x14ac:dyDescent="0.25">
      <c r="B7" s="4" t="s">
        <v>4</v>
      </c>
      <c r="C7" s="3"/>
      <c r="D7" s="5">
        <f>COUNTIF(Recommendations!F:F,"In Progress")</f>
        <v>4</v>
      </c>
    </row>
    <row r="10" spans="1:10" x14ac:dyDescent="0.25">
      <c r="B10" s="2" t="s">
        <v>5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A3C8-AB9E-4AFA-85BB-8B96DA40E41F}">
  <sheetPr codeName="Sheet10"/>
  <dimension ref="A1:J1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7.28515625" bestFit="1" customWidth="1"/>
    <col min="2" max="2" width="15.42578125" bestFit="1" customWidth="1"/>
    <col min="3" max="3" width="17.42578125" bestFit="1" customWidth="1"/>
    <col min="4" max="4" width="27.85546875" bestFit="1" customWidth="1"/>
    <col min="5" max="5" width="12.85546875" bestFit="1" customWidth="1"/>
    <col min="6" max="6" width="10.85546875" bestFit="1" customWidth="1"/>
    <col min="7" max="7" width="10.7109375" bestFit="1" customWidth="1"/>
    <col min="8" max="8" width="15.85546875" bestFit="1" customWidth="1"/>
    <col min="9" max="9" width="8.42578125" bestFit="1" customWidth="1"/>
    <col min="10" max="10" width="39.5703125" bestFit="1" customWidth="1"/>
  </cols>
  <sheetData>
    <row r="1" spans="1:10" x14ac:dyDescent="0.25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</row>
    <row r="2" spans="1:10" x14ac:dyDescent="0.25">
      <c r="A2" s="7" t="s">
        <v>158</v>
      </c>
      <c r="B2" s="7" t="s">
        <v>38</v>
      </c>
      <c r="C2" s="7" t="s">
        <v>87</v>
      </c>
      <c r="D2" s="7" t="s">
        <v>122</v>
      </c>
      <c r="E2" s="8">
        <v>45611</v>
      </c>
      <c r="F2" s="7" t="s">
        <v>159</v>
      </c>
      <c r="G2" s="8">
        <v>45672</v>
      </c>
      <c r="H2" s="7"/>
      <c r="I2" s="7" t="s">
        <v>160</v>
      </c>
      <c r="J2" s="7" t="s">
        <v>161</v>
      </c>
    </row>
    <row r="3" spans="1:10" x14ac:dyDescent="0.25">
      <c r="A3" s="7" t="s">
        <v>162</v>
      </c>
      <c r="B3" s="7" t="s">
        <v>45</v>
      </c>
      <c r="C3" s="7" t="s">
        <v>93</v>
      </c>
      <c r="D3" s="7" t="s">
        <v>133</v>
      </c>
      <c r="E3" s="8">
        <v>45616</v>
      </c>
      <c r="F3" s="7" t="s">
        <v>163</v>
      </c>
      <c r="G3" s="8">
        <v>45689</v>
      </c>
      <c r="H3" s="7"/>
      <c r="I3" s="7" t="s">
        <v>164</v>
      </c>
      <c r="J3" s="7" t="s">
        <v>165</v>
      </c>
    </row>
    <row r="4" spans="1:10" x14ac:dyDescent="0.25">
      <c r="A4" s="7" t="s">
        <v>166</v>
      </c>
      <c r="B4" s="7" t="s">
        <v>52</v>
      </c>
      <c r="C4" s="7" t="s">
        <v>99</v>
      </c>
      <c r="D4" s="7" t="s">
        <v>128</v>
      </c>
      <c r="E4" s="8">
        <v>45595</v>
      </c>
      <c r="F4" s="7" t="s">
        <v>167</v>
      </c>
      <c r="G4" s="8">
        <v>45641</v>
      </c>
      <c r="H4" s="8">
        <v>45636</v>
      </c>
      <c r="I4" s="7" t="s">
        <v>160</v>
      </c>
      <c r="J4" s="7" t="s">
        <v>168</v>
      </c>
    </row>
    <row r="5" spans="1:10" x14ac:dyDescent="0.25">
      <c r="A5" s="7" t="s">
        <v>169</v>
      </c>
      <c r="B5" s="7" t="s">
        <v>59</v>
      </c>
      <c r="C5" s="7" t="s">
        <v>105</v>
      </c>
      <c r="D5" s="7" t="s">
        <v>139</v>
      </c>
      <c r="E5" s="8">
        <v>45550</v>
      </c>
      <c r="F5" s="7" t="s">
        <v>167</v>
      </c>
      <c r="G5" s="8">
        <v>45597</v>
      </c>
      <c r="H5" s="8">
        <v>45593</v>
      </c>
      <c r="I5" s="7" t="s">
        <v>164</v>
      </c>
      <c r="J5" s="7" t="s">
        <v>170</v>
      </c>
    </row>
    <row r="6" spans="1:10" x14ac:dyDescent="0.25">
      <c r="A6" s="7" t="s">
        <v>171</v>
      </c>
      <c r="B6" s="7" t="s">
        <v>66</v>
      </c>
      <c r="C6" s="7" t="s">
        <v>111</v>
      </c>
      <c r="D6" s="7" t="s">
        <v>143</v>
      </c>
      <c r="E6" s="8">
        <v>45627</v>
      </c>
      <c r="F6" s="7" t="s">
        <v>159</v>
      </c>
      <c r="G6" s="8">
        <v>45717</v>
      </c>
      <c r="H6" s="7"/>
      <c r="I6" s="7" t="s">
        <v>160</v>
      </c>
      <c r="J6" s="7" t="s">
        <v>172</v>
      </c>
    </row>
    <row r="7" spans="1:10" x14ac:dyDescent="0.25">
      <c r="A7" s="7" t="s">
        <v>173</v>
      </c>
      <c r="B7" s="7" t="s">
        <v>73</v>
      </c>
      <c r="C7" s="7" t="s">
        <v>117</v>
      </c>
      <c r="D7" s="7" t="s">
        <v>148</v>
      </c>
      <c r="E7" s="8">
        <v>45626</v>
      </c>
      <c r="F7" s="7" t="s">
        <v>163</v>
      </c>
      <c r="G7" s="8">
        <v>45687</v>
      </c>
      <c r="H7" s="7"/>
      <c r="I7" s="7" t="s">
        <v>160</v>
      </c>
      <c r="J7" s="7" t="s">
        <v>174</v>
      </c>
    </row>
    <row r="8" spans="1:10" x14ac:dyDescent="0.25">
      <c r="A8" s="7" t="s">
        <v>175</v>
      </c>
      <c r="B8" s="7" t="s">
        <v>80</v>
      </c>
      <c r="C8" s="7" t="s">
        <v>87</v>
      </c>
      <c r="D8" s="7" t="s">
        <v>154</v>
      </c>
      <c r="E8" s="8">
        <v>45631</v>
      </c>
      <c r="F8" s="7" t="s">
        <v>159</v>
      </c>
      <c r="G8" s="8">
        <v>45703</v>
      </c>
      <c r="H8" s="7"/>
      <c r="I8" s="7" t="s">
        <v>164</v>
      </c>
      <c r="J8" s="7" t="s">
        <v>176</v>
      </c>
    </row>
    <row r="9" spans="1:10" x14ac:dyDescent="0.25">
      <c r="A9" s="7" t="s">
        <v>177</v>
      </c>
      <c r="B9" s="7" t="s">
        <v>38</v>
      </c>
      <c r="C9" s="7" t="s">
        <v>93</v>
      </c>
      <c r="D9" s="7" t="s">
        <v>128</v>
      </c>
      <c r="E9" s="8">
        <v>45627</v>
      </c>
      <c r="F9" s="7" t="s">
        <v>163</v>
      </c>
      <c r="G9" s="8">
        <v>45716</v>
      </c>
      <c r="H9" s="7"/>
      <c r="I9" s="7" t="s">
        <v>160</v>
      </c>
      <c r="J9" s="7" t="s">
        <v>178</v>
      </c>
    </row>
    <row r="10" spans="1:10" x14ac:dyDescent="0.25">
      <c r="A10" s="7" t="s">
        <v>179</v>
      </c>
      <c r="B10" s="7" t="s">
        <v>45</v>
      </c>
      <c r="C10" s="7" t="s">
        <v>99</v>
      </c>
      <c r="D10" s="7" t="s">
        <v>143</v>
      </c>
      <c r="E10" s="8">
        <v>45621</v>
      </c>
      <c r="F10" s="7" t="s">
        <v>159</v>
      </c>
      <c r="G10" s="8">
        <v>45731</v>
      </c>
      <c r="H10" s="7"/>
      <c r="I10" s="7" t="s">
        <v>164</v>
      </c>
      <c r="J10" s="7" t="s">
        <v>180</v>
      </c>
    </row>
  </sheetData>
  <conditionalFormatting sqref="A2:J10">
    <cfRule type="expression" dxfId="3" priority="1" stopIfTrue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0B24-B086-4172-A752-9F5BDAAA162A}">
  <sheetPr codeName="Sheet11"/>
  <dimension ref="A1:H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28515625" bestFit="1" customWidth="1"/>
    <col min="2" max="2" width="15.42578125" bestFit="1" customWidth="1"/>
    <col min="3" max="3" width="26.7109375" bestFit="1" customWidth="1"/>
    <col min="4" max="4" width="11.7109375" bestFit="1" customWidth="1"/>
    <col min="5" max="5" width="21.7109375" bestFit="1" customWidth="1"/>
    <col min="6" max="6" width="4.85546875" bestFit="1" customWidth="1"/>
    <col min="7" max="7" width="16.28515625" bestFit="1" customWidth="1"/>
    <col min="8" max="8" width="30.28515625" bestFit="1" customWidth="1"/>
  </cols>
  <sheetData>
    <row r="1" spans="1:8" x14ac:dyDescent="0.25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</row>
    <row r="2" spans="1:8" x14ac:dyDescent="0.25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>
        <v>3.9</v>
      </c>
      <c r="G2" s="7" t="s">
        <v>42</v>
      </c>
      <c r="H2" s="7" t="s">
        <v>43</v>
      </c>
    </row>
    <row r="3" spans="1:8" x14ac:dyDescent="0.25">
      <c r="A3" s="7" t="s">
        <v>44</v>
      </c>
      <c r="B3" s="7" t="s">
        <v>45</v>
      </c>
      <c r="C3" s="7" t="s">
        <v>46</v>
      </c>
      <c r="D3" s="7" t="s">
        <v>47</v>
      </c>
      <c r="E3" s="7" t="s">
        <v>48</v>
      </c>
      <c r="F3" s="7">
        <v>3.7</v>
      </c>
      <c r="G3" s="7" t="s">
        <v>49</v>
      </c>
      <c r="H3" s="7" t="s">
        <v>50</v>
      </c>
    </row>
    <row r="4" spans="1:8" x14ac:dyDescent="0.25">
      <c r="A4" s="7" t="s">
        <v>51</v>
      </c>
      <c r="B4" s="7" t="s">
        <v>52</v>
      </c>
      <c r="C4" s="7" t="s">
        <v>53</v>
      </c>
      <c r="D4" s="7" t="s">
        <v>54</v>
      </c>
      <c r="E4" s="7" t="s">
        <v>55</v>
      </c>
      <c r="F4" s="7">
        <v>3.8</v>
      </c>
      <c r="G4" s="7" t="s">
        <v>56</v>
      </c>
      <c r="H4" s="7" t="s">
        <v>57</v>
      </c>
    </row>
    <row r="5" spans="1:8" x14ac:dyDescent="0.25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>
        <v>3.6</v>
      </c>
      <c r="G5" s="7" t="s">
        <v>63</v>
      </c>
      <c r="H5" s="7" t="s">
        <v>64</v>
      </c>
    </row>
    <row r="6" spans="1:8" x14ac:dyDescent="0.25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>
        <v>3.9</v>
      </c>
      <c r="G6" s="7" t="s">
        <v>70</v>
      </c>
      <c r="H6" s="7" t="s">
        <v>71</v>
      </c>
    </row>
    <row r="7" spans="1:8" x14ac:dyDescent="0.25">
      <c r="A7" s="7" t="s">
        <v>72</v>
      </c>
      <c r="B7" s="7" t="s">
        <v>73</v>
      </c>
      <c r="C7" s="7" t="s">
        <v>74</v>
      </c>
      <c r="D7" s="7" t="s">
        <v>75</v>
      </c>
      <c r="E7" s="7" t="s">
        <v>76</v>
      </c>
      <c r="F7" s="7">
        <v>3.8</v>
      </c>
      <c r="G7" s="7" t="s">
        <v>77</v>
      </c>
      <c r="H7" s="7" t="s">
        <v>78</v>
      </c>
    </row>
    <row r="8" spans="1:8" x14ac:dyDescent="0.25">
      <c r="A8" s="7" t="s">
        <v>79</v>
      </c>
      <c r="B8" s="7" t="s">
        <v>80</v>
      </c>
      <c r="C8" s="7" t="s">
        <v>81</v>
      </c>
      <c r="D8" s="7" t="s">
        <v>82</v>
      </c>
      <c r="E8" s="7" t="s">
        <v>83</v>
      </c>
      <c r="F8" s="7">
        <v>3.7</v>
      </c>
      <c r="G8" s="7" t="s">
        <v>84</v>
      </c>
      <c r="H8" s="7" t="s">
        <v>85</v>
      </c>
    </row>
  </sheetData>
  <conditionalFormatting sqref="A2:J8">
    <cfRule type="expression" dxfId="2" priority="1" stopIfTrue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F7D7-7050-4DB0-ABD0-4CE722B8BCE8}">
  <sheetPr codeName="Sheet12"/>
  <dimension ref="A1:H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42578125" bestFit="1" customWidth="1"/>
    <col min="2" max="2" width="17.42578125" bestFit="1" customWidth="1"/>
    <col min="3" max="3" width="18.5703125" bestFit="1" customWidth="1"/>
    <col min="4" max="4" width="22" bestFit="1" customWidth="1"/>
    <col min="5" max="5" width="22.28515625" bestFit="1" customWidth="1"/>
    <col min="6" max="6" width="17.42578125" bestFit="1" customWidth="1"/>
    <col min="7" max="7" width="21.5703125" bestFit="1" customWidth="1"/>
    <col min="8" max="8" width="14.140625" bestFit="1" customWidth="1"/>
  </cols>
  <sheetData>
    <row r="1" spans="1:8" x14ac:dyDescent="0.25">
      <c r="A1" s="10" t="s">
        <v>24</v>
      </c>
      <c r="B1" s="10" t="s">
        <v>17</v>
      </c>
      <c r="C1" s="10" t="s">
        <v>25</v>
      </c>
      <c r="D1" s="10" t="s">
        <v>26</v>
      </c>
      <c r="E1" s="10" t="s">
        <v>18</v>
      </c>
      <c r="F1" s="10" t="s">
        <v>27</v>
      </c>
      <c r="G1" s="10" t="s">
        <v>28</v>
      </c>
      <c r="H1" s="10" t="s">
        <v>29</v>
      </c>
    </row>
    <row r="2" spans="1:8" x14ac:dyDescent="0.25">
      <c r="A2" s="7" t="s">
        <v>86</v>
      </c>
      <c r="B2" s="7" t="s">
        <v>87</v>
      </c>
      <c r="C2" s="7" t="s">
        <v>88</v>
      </c>
      <c r="D2" s="7" t="s">
        <v>89</v>
      </c>
      <c r="E2" s="7" t="s">
        <v>90</v>
      </c>
      <c r="F2" s="7" t="s">
        <v>91</v>
      </c>
      <c r="G2" s="7" t="s">
        <v>41</v>
      </c>
      <c r="H2" s="11">
        <v>0.95</v>
      </c>
    </row>
    <row r="3" spans="1:8" x14ac:dyDescent="0.25">
      <c r="A3" s="7" t="s">
        <v>92</v>
      </c>
      <c r="B3" s="7" t="s">
        <v>93</v>
      </c>
      <c r="C3" s="7" t="s">
        <v>94</v>
      </c>
      <c r="D3" s="7" t="s">
        <v>95</v>
      </c>
      <c r="E3" s="7" t="s">
        <v>96</v>
      </c>
      <c r="F3" s="7" t="s">
        <v>97</v>
      </c>
      <c r="G3" s="7" t="s">
        <v>48</v>
      </c>
      <c r="H3" s="11">
        <v>0.9</v>
      </c>
    </row>
    <row r="4" spans="1:8" x14ac:dyDescent="0.25">
      <c r="A4" s="7" t="s">
        <v>98</v>
      </c>
      <c r="B4" s="7" t="s">
        <v>99</v>
      </c>
      <c r="C4" s="7" t="s">
        <v>100</v>
      </c>
      <c r="D4" s="7" t="s">
        <v>101</v>
      </c>
      <c r="E4" s="7" t="s">
        <v>102</v>
      </c>
      <c r="F4" s="7" t="s">
        <v>103</v>
      </c>
      <c r="G4" s="7" t="s">
        <v>55</v>
      </c>
      <c r="H4" s="11">
        <v>0.88</v>
      </c>
    </row>
    <row r="5" spans="1:8" x14ac:dyDescent="0.25">
      <c r="A5" s="7" t="s">
        <v>104</v>
      </c>
      <c r="B5" s="7" t="s">
        <v>105</v>
      </c>
      <c r="C5" s="7" t="s">
        <v>106</v>
      </c>
      <c r="D5" s="7" t="s">
        <v>107</v>
      </c>
      <c r="E5" s="7" t="s">
        <v>108</v>
      </c>
      <c r="F5" s="7" t="s">
        <v>109</v>
      </c>
      <c r="G5" s="7" t="s">
        <v>62</v>
      </c>
      <c r="H5" s="11">
        <v>0.92</v>
      </c>
    </row>
    <row r="6" spans="1:8" x14ac:dyDescent="0.25">
      <c r="A6" s="7" t="s">
        <v>110</v>
      </c>
      <c r="B6" s="7" t="s">
        <v>111</v>
      </c>
      <c r="C6" s="7" t="s">
        <v>112</v>
      </c>
      <c r="D6" s="7" t="s">
        <v>113</v>
      </c>
      <c r="E6" s="7" t="s">
        <v>114</v>
      </c>
      <c r="F6" s="7" t="s">
        <v>115</v>
      </c>
      <c r="G6" s="7" t="s">
        <v>69</v>
      </c>
      <c r="H6" s="11">
        <v>0.85</v>
      </c>
    </row>
    <row r="7" spans="1:8" x14ac:dyDescent="0.25">
      <c r="A7" s="7" t="s">
        <v>116</v>
      </c>
      <c r="B7" s="7" t="s">
        <v>117</v>
      </c>
      <c r="C7" s="7" t="s">
        <v>88</v>
      </c>
      <c r="D7" s="7" t="s">
        <v>118</v>
      </c>
      <c r="E7" s="7" t="s">
        <v>119</v>
      </c>
      <c r="F7" s="7" t="s">
        <v>120</v>
      </c>
      <c r="G7" s="7" t="s">
        <v>76</v>
      </c>
      <c r="H7" s="11">
        <v>0.93</v>
      </c>
    </row>
  </sheetData>
  <conditionalFormatting sqref="A2:J7">
    <cfRule type="expression" dxfId="1" priority="1" stopIfTrue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B7F7-4AF1-43E1-8733-B02ACC3DB92E}">
  <sheetPr codeName="Sheet13"/>
  <dimension ref="A1:H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3.5703125" bestFit="1" customWidth="1"/>
    <col min="2" max="2" width="27.85546875" bestFit="1" customWidth="1"/>
    <col min="3" max="3" width="11.42578125" bestFit="1" customWidth="1"/>
    <col min="4" max="4" width="22" bestFit="1" customWidth="1"/>
    <col min="5" max="5" width="10.7109375" bestFit="1" customWidth="1"/>
    <col min="6" max="6" width="13.7109375" bestFit="1" customWidth="1"/>
    <col min="7" max="7" width="20.42578125" bestFit="1" customWidth="1"/>
    <col min="8" max="8" width="13.42578125" bestFit="1" customWidth="1"/>
  </cols>
  <sheetData>
    <row r="1" spans="1:8" x14ac:dyDescent="0.25">
      <c r="A1" s="12" t="s">
        <v>30</v>
      </c>
      <c r="B1" s="12" t="s">
        <v>31</v>
      </c>
      <c r="C1" s="12" t="s">
        <v>19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</row>
    <row r="2" spans="1:8" x14ac:dyDescent="0.25">
      <c r="A2" s="7" t="s">
        <v>121</v>
      </c>
      <c r="B2" s="7" t="s">
        <v>122</v>
      </c>
      <c r="C2" s="7" t="s">
        <v>123</v>
      </c>
      <c r="D2" s="7" t="s">
        <v>124</v>
      </c>
      <c r="E2" s="8">
        <v>45731</v>
      </c>
      <c r="F2" s="7" t="s">
        <v>125</v>
      </c>
      <c r="G2" s="7" t="s">
        <v>126</v>
      </c>
      <c r="H2" s="13">
        <v>70000</v>
      </c>
    </row>
    <row r="3" spans="1:8" x14ac:dyDescent="0.25">
      <c r="A3" s="7" t="s">
        <v>127</v>
      </c>
      <c r="B3" s="7" t="s">
        <v>128</v>
      </c>
      <c r="C3" s="7" t="s">
        <v>129</v>
      </c>
      <c r="D3" s="7" t="s">
        <v>130</v>
      </c>
      <c r="E3" s="8">
        <v>45748</v>
      </c>
      <c r="F3" s="7" t="s">
        <v>131</v>
      </c>
      <c r="G3" s="7" t="s">
        <v>126</v>
      </c>
      <c r="H3" s="13">
        <v>50000</v>
      </c>
    </row>
    <row r="4" spans="1:8" x14ac:dyDescent="0.25">
      <c r="A4" s="7" t="s">
        <v>132</v>
      </c>
      <c r="B4" s="7" t="s">
        <v>133</v>
      </c>
      <c r="C4" s="7" t="s">
        <v>134</v>
      </c>
      <c r="D4" s="7" t="s">
        <v>135</v>
      </c>
      <c r="E4" s="8">
        <v>45869</v>
      </c>
      <c r="F4" s="7" t="s">
        <v>125</v>
      </c>
      <c r="G4" s="7" t="s">
        <v>136</v>
      </c>
      <c r="H4" s="7" t="s">
        <v>137</v>
      </c>
    </row>
    <row r="5" spans="1:8" x14ac:dyDescent="0.25">
      <c r="A5" s="7" t="s">
        <v>138</v>
      </c>
      <c r="B5" s="7" t="s">
        <v>139</v>
      </c>
      <c r="C5" s="7" t="s">
        <v>123</v>
      </c>
      <c r="D5" s="7" t="s">
        <v>140</v>
      </c>
      <c r="E5" s="8">
        <v>45599</v>
      </c>
      <c r="F5" s="7" t="s">
        <v>141</v>
      </c>
      <c r="G5" s="7" t="s">
        <v>126</v>
      </c>
      <c r="H5" s="13">
        <v>35000</v>
      </c>
    </row>
    <row r="6" spans="1:8" x14ac:dyDescent="0.25">
      <c r="A6" s="7" t="s">
        <v>142</v>
      </c>
      <c r="B6" s="7" t="s">
        <v>143</v>
      </c>
      <c r="C6" s="7" t="s">
        <v>144</v>
      </c>
      <c r="D6" s="7" t="s">
        <v>145</v>
      </c>
      <c r="E6" s="8">
        <v>45778</v>
      </c>
      <c r="F6" s="7" t="s">
        <v>125</v>
      </c>
      <c r="G6" s="7" t="s">
        <v>146</v>
      </c>
      <c r="H6" s="13">
        <v>45000</v>
      </c>
    </row>
    <row r="7" spans="1:8" x14ac:dyDescent="0.25">
      <c r="A7" s="7" t="s">
        <v>147</v>
      </c>
      <c r="B7" s="7" t="s">
        <v>148</v>
      </c>
      <c r="C7" s="7" t="s">
        <v>149</v>
      </c>
      <c r="D7" s="7" t="s">
        <v>150</v>
      </c>
      <c r="E7" s="8">
        <v>45641</v>
      </c>
      <c r="F7" s="7" t="s">
        <v>151</v>
      </c>
      <c r="G7" s="7" t="s">
        <v>152</v>
      </c>
      <c r="H7" s="13">
        <v>40000</v>
      </c>
    </row>
    <row r="8" spans="1:8" x14ac:dyDescent="0.25">
      <c r="A8" s="7" t="s">
        <v>153</v>
      </c>
      <c r="B8" s="7" t="s">
        <v>154</v>
      </c>
      <c r="C8" s="7" t="s">
        <v>155</v>
      </c>
      <c r="D8" s="7" t="s">
        <v>156</v>
      </c>
      <c r="E8" s="8">
        <v>45665</v>
      </c>
      <c r="F8" s="7" t="s">
        <v>157</v>
      </c>
      <c r="G8" s="7" t="s">
        <v>136</v>
      </c>
      <c r="H8" s="13">
        <v>25000</v>
      </c>
    </row>
  </sheetData>
  <conditionalFormatting sqref="A2:J8">
    <cfRule type="expression" dxfId="0" priority="1" stopIfTrue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Recommendations</vt:lpstr>
      <vt:lpstr>Students</vt:lpstr>
      <vt:lpstr>Referees</vt:lpstr>
      <vt:lpstr>Scholarships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Zubayr Akande</dc:creator>
  <cp:lastModifiedBy>Zubayr Akande</cp:lastModifiedBy>
  <dcterms:created xsi:type="dcterms:W3CDTF">2025-06-14T08:34:24Z</dcterms:created>
  <dcterms:modified xsi:type="dcterms:W3CDTF">2025-06-14T08:59:16Z</dcterms:modified>
</cp:coreProperties>
</file>