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5B40D461-8942-474D-86FD-E0A8AB8019B4}" xr6:coauthVersionLast="47" xr6:coauthVersionMax="47" xr10:uidLastSave="{00000000-0000-0000-0000-000000000000}"/>
  <bookViews>
    <workbookView xWindow="-120" yWindow="-120" windowWidth="20730" windowHeight="11040" xr2:uid="{04B2C643-C50C-42D7-822A-E0DE1E426E5B}"/>
  </bookViews>
  <sheets>
    <sheet name="Dashboard" sheetId="1" r:id="rId1"/>
    <sheet name="Deadlines" sheetId="2" r:id="rId2"/>
    <sheet name="Calendar" sheetId="3" r:id="rId3"/>
    <sheet name="Alerts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E8" i="1"/>
  <c r="E13" i="1"/>
  <c r="B8" i="1"/>
  <c r="B4" i="1" s="1"/>
  <c r="F12" i="2"/>
  <c r="F11" i="2"/>
  <c r="F10" i="2"/>
  <c r="F9" i="2"/>
  <c r="F8" i="2"/>
  <c r="F7" i="2"/>
  <c r="F6" i="2"/>
  <c r="F5" i="2"/>
  <c r="F4" i="2"/>
  <c r="F3" i="2"/>
  <c r="E4" i="1" l="1"/>
</calcChain>
</file>

<file path=xl/sharedStrings.xml><?xml version="1.0" encoding="utf-8"?>
<sst xmlns="http://schemas.openxmlformats.org/spreadsheetml/2006/main" count="160" uniqueCount="107">
  <si>
    <t>Scholarship Name</t>
  </si>
  <si>
    <t>Organization</t>
  </si>
  <si>
    <t>Country</t>
  </si>
  <si>
    <t>Deadline Date</t>
  </si>
  <si>
    <t>Days Left</t>
  </si>
  <si>
    <t>Status</t>
  </si>
  <si>
    <t>Priority</t>
  </si>
  <si>
    <t>Notes</t>
  </si>
  <si>
    <t>DL001</t>
  </si>
  <si>
    <t>Rhodes Scholarship</t>
  </si>
  <si>
    <t>Rhodes Trust</t>
  </si>
  <si>
    <t>Not Started</t>
  </si>
  <si>
    <t>High</t>
  </si>
  <si>
    <t>DL002</t>
  </si>
  <si>
    <t>In Progress</t>
  </si>
  <si>
    <t>DL003</t>
  </si>
  <si>
    <t>Germany</t>
  </si>
  <si>
    <t>Medium</t>
  </si>
  <si>
    <t>DL004</t>
  </si>
  <si>
    <t>Chevening Scholarship</t>
  </si>
  <si>
    <t>UK Government</t>
  </si>
  <si>
    <t>Planning</t>
  </si>
  <si>
    <t>Your Complete Solution for Managing Scholarship Applications</t>
  </si>
  <si>
    <t>SUNDAY</t>
  </si>
  <si>
    <t>MONDAY</t>
  </si>
  <si>
    <t>TUESDAY</t>
  </si>
  <si>
    <t>WEDNESDAY</t>
  </si>
  <si>
    <t>THURSDAY</t>
  </si>
  <si>
    <t>FRIDAY</t>
  </si>
  <si>
    <t>SATURDAY</t>
  </si>
  <si>
    <t>ID</t>
  </si>
  <si>
    <t>Progress %</t>
  </si>
  <si>
    <t>Recommenders</t>
  </si>
  <si>
    <t>Documents</t>
  </si>
  <si>
    <t>United Kingdom</t>
  </si>
  <si>
    <t>2 of 3</t>
  </si>
  <si>
    <t>Personal Statement, CV</t>
  </si>
  <si>
    <t>Strong application, need final recommendation</t>
  </si>
  <si>
    <t>Fulbright U.S. Student Program</t>
  </si>
  <si>
    <t>U.S. Department of State</t>
  </si>
  <si>
    <t>United States</t>
  </si>
  <si>
    <t>Completed</t>
  </si>
  <si>
    <t>Complete</t>
  </si>
  <si>
    <t>All documents</t>
  </si>
  <si>
    <t>Application submitted successfully</t>
  </si>
  <si>
    <t>DAAD Research Grant</t>
  </si>
  <si>
    <t>German Academic Exchange Service</t>
  </si>
  <si>
    <t>0 of 2</t>
  </si>
  <si>
    <t>Research Proposal</t>
  </si>
  <si>
    <t>Need to contact German supervisor</t>
  </si>
  <si>
    <t>3 of 3</t>
  </si>
  <si>
    <t>Essays, IELTS</t>
  </si>
  <si>
    <t>Leadership essay needs revision</t>
  </si>
  <si>
    <t>DL005</t>
  </si>
  <si>
    <t>Marshall Scholarship</t>
  </si>
  <si>
    <t>Marshall Aid Commemoration Commission</t>
  </si>
  <si>
    <t>All submitted</t>
  </si>
  <si>
    <t>Interviews scheduled for December</t>
  </si>
  <si>
    <t>DL006</t>
  </si>
  <si>
    <t>Gates Cambridge Scholarship</t>
  </si>
  <si>
    <t>Gates Cambridge Trust</t>
  </si>
  <si>
    <t>PhD application, high competition</t>
  </si>
  <si>
    <t>DL007</t>
  </si>
  <si>
    <t>Knight-Hennessy Scholars</t>
  </si>
  <si>
    <t>Stanford University</t>
  </si>
  <si>
    <t>Waiting for interview results</t>
  </si>
  <si>
    <t>DL008</t>
  </si>
  <si>
    <t>Australia Awards Scholarship</t>
  </si>
  <si>
    <t>Australian Government</t>
  </si>
  <si>
    <t>Australia</t>
  </si>
  <si>
    <t>Application Form</t>
  </si>
  <si>
    <t>Good for development studies</t>
  </si>
  <si>
    <t>DL009</t>
  </si>
  <si>
    <t>Swiss Government Excellence Scholarship</t>
  </si>
  <si>
    <t>Swiss Government</t>
  </si>
  <si>
    <t>Switzerland</t>
  </si>
  <si>
    <t>1 of 2</t>
  </si>
  <si>
    <t>PhD only, contact supervisor first</t>
  </si>
  <si>
    <t>DL010</t>
  </si>
  <si>
    <t>Eiffel Excellence Scholarship</t>
  </si>
  <si>
    <t>Campus France</t>
  </si>
  <si>
    <t>France</t>
  </si>
  <si>
    <t>Low</t>
  </si>
  <si>
    <t>Motivation Letter</t>
  </si>
  <si>
    <t>Institution nomination required</t>
  </si>
  <si>
    <t>&lt; PREVIOUS</t>
  </si>
  <si>
    <t>NEXT &gt;</t>
  </si>
  <si>
    <t>Scholarship</t>
  </si>
  <si>
    <t>Deadline</t>
  </si>
  <si>
    <t>No alerts in this category</t>
  </si>
  <si>
    <t>?? WARNING - DUE WITHIN 30 DAYS</t>
  </si>
  <si>
    <t>?? UPCOMING - DUE WITHIN 60 DAYS</t>
  </si>
  <si>
    <t>RECENT ACTIVITY</t>
  </si>
  <si>
    <t>QUICK ACTIONS</t>
  </si>
  <si>
    <t>Check Alerts</t>
  </si>
  <si>
    <t>Archive Completed</t>
  </si>
  <si>
    <t>Refresh All</t>
  </si>
  <si>
    <t>Generate Report</t>
  </si>
  <si>
    <t>View Calendar</t>
  </si>
  <si>
    <t>INTERNATIONAL SCHOLARSHIP DEADLINE TRACKER</t>
  </si>
  <si>
    <t>DEADLINE ALERT SYSTEM</t>
  </si>
  <si>
    <t>URGENT - DUE WITHIN 7 DAYS</t>
  </si>
  <si>
    <t>+ Add New Deadline</t>
  </si>
  <si>
    <t>DEADLINE CALENDAR - MAY 2025</t>
  </si>
  <si>
    <t>CRITICAL - DUE IN 3 DAYS OR LESS</t>
  </si>
  <si>
    <t>SCHOLARSHIP APPLICATION DEADLINES</t>
  </si>
  <si>
    <t>Recent deadline updates will appear here…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</si>
</sst>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Rockwell"/>
      <family val="2"/>
      <scheme val="minor"/>
    </font>
    <font>
      <b/>
      <sz val="11"/>
      <color theme="1"/>
      <name val="Rockwell"/>
      <family val="2"/>
      <scheme val="minor"/>
    </font>
    <font>
      <sz val="10"/>
      <color theme="1"/>
      <name val="Segoe UI"/>
      <family val="2"/>
    </font>
    <font>
      <b/>
      <sz val="20"/>
      <color rgb="FFFFFFFF"/>
      <name val="Segoe UI"/>
      <family val="2"/>
    </font>
    <font>
      <i/>
      <sz val="12"/>
      <color rgb="FF646464"/>
      <name val="Segoe UI"/>
      <family val="2"/>
    </font>
    <font>
      <b/>
      <sz val="12"/>
      <color rgb="FFFFFFFF"/>
      <name val="Segoe UI"/>
      <family val="2"/>
    </font>
    <font>
      <b/>
      <sz val="14"/>
      <color rgb="FF4472C4"/>
      <name val="Segoe UI"/>
      <family val="2"/>
    </font>
    <font>
      <b/>
      <sz val="11"/>
      <color rgb="FFFFFFFF"/>
      <name val="Segoe UI"/>
      <family val="2"/>
    </font>
    <font>
      <i/>
      <sz val="10"/>
      <color rgb="FF808080"/>
      <name val="Segoe UI"/>
      <family val="2"/>
    </font>
    <font>
      <b/>
      <sz val="18"/>
      <color rgb="FFFFFFFF"/>
      <name val="Segoe UI"/>
      <family val="2"/>
    </font>
    <font>
      <b/>
      <sz val="11"/>
      <color rgb="FFFFFFFF"/>
      <name val="Rockwell"/>
      <family val="2"/>
      <scheme val="minor"/>
    </font>
    <font>
      <b/>
      <sz val="10"/>
      <color rgb="FFFFFFFF"/>
      <name val="Segoe UI"/>
      <family val="2"/>
    </font>
    <font>
      <b/>
      <sz val="16"/>
      <color rgb="FFFFFFFF"/>
      <name val="Segoe UI"/>
      <family val="2"/>
    </font>
    <font>
      <b/>
      <sz val="12"/>
      <color theme="1"/>
      <name val="Segoe UI"/>
      <family val="2"/>
    </font>
    <font>
      <i/>
      <sz val="11"/>
      <color rgb="FF808080"/>
      <name val="Rockwel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34A853"/>
        <bgColor indexed="64"/>
      </patternFill>
    </fill>
    <fill>
      <patternFill patternType="solid">
        <fgColor rgb="FFEA4335"/>
        <bgColor indexed="64"/>
      </patternFill>
    </fill>
    <fill>
      <patternFill patternType="solid">
        <fgColor rgb="FFFBBC05"/>
        <bgColor indexed="64"/>
      </patternFill>
    </fill>
    <fill>
      <patternFill patternType="solid">
        <fgColor rgb="FF4285F4"/>
        <bgColor indexed="64"/>
      </patternFill>
    </fill>
    <fill>
      <patternFill patternType="solid">
        <fgColor rgb="FF9C27B0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FF572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FF98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DADCE0"/>
      </left>
      <right style="thin">
        <color rgb="FFDADCE0"/>
      </right>
      <top style="thin">
        <color rgb="FFDADCE0"/>
      </top>
      <bottom style="thin">
        <color rgb="FFDADCE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/>
    </xf>
    <xf numFmtId="0" fontId="5" fillId="4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/>
    </xf>
    <xf numFmtId="0" fontId="5" fillId="5" borderId="3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3" borderId="3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0" fillId="10" borderId="4" xfId="0" applyFill="1" applyBorder="1"/>
    <xf numFmtId="0" fontId="8" fillId="10" borderId="4" xfId="0" applyFont="1" applyFill="1" applyBorder="1"/>
    <xf numFmtId="0" fontId="9" fillId="6" borderId="0" xfId="0" applyFont="1" applyFill="1" applyAlignment="1">
      <alignment horizontal="center"/>
    </xf>
    <xf numFmtId="0" fontId="10" fillId="8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2" fillId="11" borderId="4" xfId="0" applyFont="1" applyFill="1" applyBorder="1"/>
    <xf numFmtId="14" fontId="2" fillId="11" borderId="4" xfId="0" applyNumberFormat="1" applyFont="1" applyFill="1" applyBorder="1"/>
    <xf numFmtId="9" fontId="2" fillId="11" borderId="4" xfId="0" applyNumberFormat="1" applyFont="1" applyFill="1" applyBorder="1"/>
    <xf numFmtId="0" fontId="2" fillId="12" borderId="4" xfId="0" applyFont="1" applyFill="1" applyBorder="1"/>
    <xf numFmtId="14" fontId="2" fillId="12" borderId="4" xfId="0" applyNumberFormat="1" applyFont="1" applyFill="1" applyBorder="1"/>
    <xf numFmtId="9" fontId="2" fillId="12" borderId="4" xfId="0" applyNumberFormat="1" applyFont="1" applyFill="1" applyBorder="1"/>
    <xf numFmtId="0" fontId="2" fillId="13" borderId="4" xfId="0" applyFont="1" applyFill="1" applyBorder="1"/>
    <xf numFmtId="14" fontId="2" fillId="13" borderId="4" xfId="0" applyNumberFormat="1" applyFont="1" applyFill="1" applyBorder="1"/>
    <xf numFmtId="9" fontId="2" fillId="13" borderId="4" xfId="0" applyNumberFormat="1" applyFont="1" applyFill="1" applyBorder="1"/>
    <xf numFmtId="0" fontId="13" fillId="10" borderId="4" xfId="0" applyFont="1" applyFill="1" applyBorder="1" applyAlignment="1">
      <alignment horizontal="left" vertical="top"/>
    </xf>
    <xf numFmtId="0" fontId="9" fillId="5" borderId="0" xfId="0" applyFont="1" applyFill="1" applyAlignment="1">
      <alignment horizontal="center"/>
    </xf>
    <xf numFmtId="0" fontId="14" fillId="0" borderId="0" xfId="0" applyFont="1"/>
    <xf numFmtId="0" fontId="5" fillId="14" borderId="0" xfId="0" applyFont="1" applyFill="1" applyAlignment="1">
      <alignment horizontal="center"/>
    </xf>
    <xf numFmtId="0" fontId="0" fillId="11" borderId="1" xfId="0" applyFill="1" applyBorder="1"/>
    <xf numFmtId="14" fontId="0" fillId="11" borderId="1" xfId="0" applyNumberFormat="1" applyFill="1" applyBorder="1"/>
    <xf numFmtId="0" fontId="2" fillId="11" borderId="4" xfId="0" applyFont="1" applyFill="1" applyBorder="1" applyAlignment="1">
      <alignment wrapText="1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95C0-B8F6-4CCB-BB38-7684F715547C}">
  <sheetPr codeName="Sheet1">
    <tabColor rgb="FF4472C4"/>
  </sheetPr>
  <dimension ref="A1:H27"/>
  <sheetViews>
    <sheetView showRowColHeaders="0" tabSelected="1" workbookViewId="0">
      <selection activeCell="D12" sqref="D12"/>
    </sheetView>
  </sheetViews>
  <sheetFormatPr defaultRowHeight="14.25" x14ac:dyDescent="0.2"/>
  <cols>
    <col min="1" max="1" width="8.625" customWidth="1"/>
    <col min="2" max="6" width="20.625" customWidth="1"/>
    <col min="7" max="8" width="15.625" customWidth="1"/>
    <col min="9" max="9" width="28.875" customWidth="1"/>
  </cols>
  <sheetData>
    <row r="1" spans="1:8" ht="39.950000000000003" customHeight="1" x14ac:dyDescent="0.2">
      <c r="A1" s="3" t="s">
        <v>99</v>
      </c>
      <c r="B1" s="4"/>
      <c r="C1" s="4"/>
      <c r="D1" s="4"/>
      <c r="E1" s="4"/>
      <c r="F1" s="4"/>
      <c r="G1" s="4"/>
      <c r="H1" s="4"/>
    </row>
    <row r="2" spans="1:8" ht="24.95" customHeight="1" x14ac:dyDescent="0.3">
      <c r="A2" s="5" t="s">
        <v>22</v>
      </c>
      <c r="B2" s="2"/>
      <c r="C2" s="2"/>
      <c r="D2" s="2"/>
      <c r="E2" s="2"/>
      <c r="F2" s="2"/>
      <c r="G2" s="2"/>
      <c r="H2" s="2"/>
    </row>
    <row r="3" spans="1:8" ht="18" customHeight="1" thickBot="1" x14ac:dyDescent="0.25"/>
    <row r="4" spans="1:8" ht="15" thickBot="1" x14ac:dyDescent="0.25">
      <c r="B4" s="8" t="str">
        <f>"TOTAL DEADLINES"&amp;CHAR(10)&amp;$B$8</f>
        <v>TOTAL DEADLINES
IN PROGRESS
3</v>
      </c>
      <c r="C4" s="7"/>
      <c r="E4" s="11" t="str">
        <f>"URGENT ALERTS"&amp;CHAR(10)&amp;$E$8</f>
        <v>URGENT ALERTS
COMPLETED
3</v>
      </c>
      <c r="F4" s="10"/>
    </row>
    <row r="5" spans="1:8" ht="15" thickBot="1" x14ac:dyDescent="0.25">
      <c r="B5" s="7"/>
      <c r="C5" s="7"/>
      <c r="E5" s="10"/>
      <c r="F5" s="10"/>
    </row>
    <row r="6" spans="1:8" ht="15" thickBot="1" x14ac:dyDescent="0.25">
      <c r="B6" s="7"/>
      <c r="C6" s="7"/>
      <c r="E6" s="10"/>
      <c r="F6" s="10"/>
    </row>
    <row r="7" spans="1:8" ht="15" thickBot="1" x14ac:dyDescent="0.25"/>
    <row r="8" spans="1:8" ht="15" thickBot="1" x14ac:dyDescent="0.25">
      <c r="B8" s="14" t="str">
        <f t="shared" ref="B8:C10" si="0">"IN PROGRESS"&amp;CHAR(10)&amp;$B$13</f>
        <v>IN PROGRESS
3</v>
      </c>
      <c r="C8" s="13"/>
      <c r="E8" s="8" t="str">
        <f t="shared" ref="E8:F10" si="1">"COMPLETED"&amp;CHAR(10)&amp;$E$13</f>
        <v>COMPLETED
3</v>
      </c>
      <c r="F8" s="7"/>
    </row>
    <row r="9" spans="1:8" ht="15" thickBot="1" x14ac:dyDescent="0.25">
      <c r="B9" s="13"/>
      <c r="C9" s="13"/>
      <c r="E9" s="7"/>
      <c r="F9" s="7"/>
    </row>
    <row r="10" spans="1:8" ht="15" thickBot="1" x14ac:dyDescent="0.25">
      <c r="B10" s="13"/>
      <c r="C10" s="13"/>
      <c r="E10" s="7"/>
      <c r="F10" s="7"/>
    </row>
    <row r="12" spans="1:8" ht="20.25" x14ac:dyDescent="0.35">
      <c r="B12" s="15" t="s">
        <v>93</v>
      </c>
    </row>
    <row r="13" spans="1:8" ht="15" thickBot="1" x14ac:dyDescent="0.25">
      <c r="B13">
        <f>COUNTIF(Deadlines!G:G,"In Progress")</f>
        <v>3</v>
      </c>
      <c r="E13">
        <f>COUNTIF(Deadlines!G:G,"Completed")</f>
        <v>3</v>
      </c>
    </row>
    <row r="14" spans="1:8" ht="24.95" customHeight="1" thickBot="1" x14ac:dyDescent="0.25">
      <c r="B14" s="16" t="s">
        <v>102</v>
      </c>
      <c r="C14" s="16"/>
      <c r="E14" s="17" t="s">
        <v>98</v>
      </c>
      <c r="F14" s="17"/>
    </row>
    <row r="15" spans="1:8" ht="15" thickBot="1" x14ac:dyDescent="0.25"/>
    <row r="16" spans="1:8" ht="24.95" customHeight="1" thickBot="1" x14ac:dyDescent="0.25">
      <c r="B16" s="18" t="s">
        <v>94</v>
      </c>
      <c r="C16" s="18"/>
      <c r="E16" s="19" t="s">
        <v>97</v>
      </c>
      <c r="F16" s="19"/>
    </row>
    <row r="17" spans="2:6" ht="15" thickBot="1" x14ac:dyDescent="0.25"/>
    <row r="18" spans="2:6" ht="24.95" customHeight="1" thickBot="1" x14ac:dyDescent="0.25">
      <c r="B18" s="20" t="s">
        <v>95</v>
      </c>
      <c r="C18" s="20"/>
      <c r="E18" s="21" t="s">
        <v>96</v>
      </c>
      <c r="F18" s="21"/>
    </row>
    <row r="21" spans="2:6" ht="20.25" x14ac:dyDescent="0.35">
      <c r="B21" s="15" t="s">
        <v>92</v>
      </c>
    </row>
    <row r="23" spans="2:6" ht="15" x14ac:dyDescent="0.25">
      <c r="B23" s="23" t="s">
        <v>106</v>
      </c>
      <c r="C23" s="22"/>
      <c r="D23" s="22"/>
      <c r="E23" s="22"/>
      <c r="F23" s="22"/>
    </row>
    <row r="24" spans="2:6" x14ac:dyDescent="0.2">
      <c r="B24" s="22"/>
      <c r="C24" s="22"/>
      <c r="D24" s="22"/>
      <c r="E24" s="22"/>
      <c r="F24" s="22"/>
    </row>
    <row r="25" spans="2:6" x14ac:dyDescent="0.2">
      <c r="B25" s="22"/>
      <c r="C25" s="22"/>
      <c r="D25" s="22"/>
      <c r="E25" s="22"/>
      <c r="F25" s="22"/>
    </row>
    <row r="26" spans="2:6" x14ac:dyDescent="0.2">
      <c r="B26" s="22"/>
      <c r="C26" s="22"/>
      <c r="D26" s="22"/>
      <c r="E26" s="22"/>
      <c r="F26" s="22"/>
    </row>
    <row r="27" spans="2:6" x14ac:dyDescent="0.2">
      <c r="B27" s="22"/>
      <c r="C27" s="22"/>
      <c r="D27" s="22"/>
      <c r="E27" s="22"/>
      <c r="F27" s="22"/>
    </row>
  </sheetData>
  <mergeCells count="12">
    <mergeCell ref="B8:C10"/>
    <mergeCell ref="E8:F10"/>
    <mergeCell ref="B14:C14"/>
    <mergeCell ref="E14:F14"/>
    <mergeCell ref="B16:C16"/>
    <mergeCell ref="E16:F16"/>
    <mergeCell ref="B18:C18"/>
    <mergeCell ref="E18:F18"/>
    <mergeCell ref="A1:H1"/>
    <mergeCell ref="A2:H2"/>
    <mergeCell ref="B4:C6"/>
    <mergeCell ref="E4:F6"/>
  </mergeCells>
  <pageMargins left="0.25" right="0.25" top="0.75" bottom="0.75" header="0.3" footer="0.3"/>
  <pageSetup paperSize="3" orientation="landscape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FD38-9EB9-4667-80B0-B87D9979F492}">
  <sheetPr codeName="Sheet2">
    <tabColor rgb="FFEA4335"/>
  </sheetPr>
  <dimension ref="A1:L12"/>
  <sheetViews>
    <sheetView zoomScale="109" workbookViewId="0">
      <pane ySplit="2" topLeftCell="A3" activePane="bottomLeft" state="frozenSplit"/>
      <selection activeCell="C1" sqref="C1"/>
      <selection pane="bottomLeft" activeCell="B9" sqref="B9"/>
    </sheetView>
  </sheetViews>
  <sheetFormatPr defaultRowHeight="14.25" x14ac:dyDescent="0.2"/>
  <cols>
    <col min="1" max="1" width="8.625" customWidth="1"/>
    <col min="2" max="2" width="25.625" customWidth="1"/>
    <col min="3" max="3" width="28.625" customWidth="1"/>
    <col min="4" max="4" width="13" customWidth="1"/>
    <col min="5" max="5" width="16.5" customWidth="1"/>
    <col min="6" max="6" width="10.625" customWidth="1"/>
    <col min="7" max="7" width="12.625" customWidth="1"/>
    <col min="8" max="8" width="10.625" customWidth="1"/>
    <col min="9" max="9" width="11.875" customWidth="1"/>
    <col min="10" max="10" width="16.875" customWidth="1"/>
    <col min="11" max="11" width="25.5" customWidth="1"/>
    <col min="12" max="12" width="43.5" customWidth="1"/>
  </cols>
  <sheetData>
    <row r="1" spans="1:12" ht="35.1" customHeight="1" x14ac:dyDescent="0.5">
      <c r="A1" s="27" t="s">
        <v>105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30" customHeight="1" x14ac:dyDescent="0.2">
      <c r="A2" s="28" t="s">
        <v>30</v>
      </c>
      <c r="B2" s="28" t="s">
        <v>0</v>
      </c>
      <c r="C2" s="28" t="s">
        <v>1</v>
      </c>
      <c r="D2" s="28" t="s">
        <v>2</v>
      </c>
      <c r="E2" s="28" t="s">
        <v>3</v>
      </c>
      <c r="F2" s="28" t="s">
        <v>4</v>
      </c>
      <c r="G2" s="28" t="s">
        <v>5</v>
      </c>
      <c r="H2" s="28" t="s">
        <v>6</v>
      </c>
      <c r="I2" s="28" t="s">
        <v>31</v>
      </c>
      <c r="J2" s="28" t="s">
        <v>32</v>
      </c>
      <c r="K2" s="28" t="s">
        <v>33</v>
      </c>
      <c r="L2" s="28" t="s">
        <v>7</v>
      </c>
    </row>
    <row r="3" spans="1:12" ht="15" x14ac:dyDescent="0.25">
      <c r="A3" s="29" t="s">
        <v>8</v>
      </c>
      <c r="B3" s="29" t="s">
        <v>9</v>
      </c>
      <c r="C3" s="29" t="s">
        <v>10</v>
      </c>
      <c r="D3" s="29" t="s">
        <v>34</v>
      </c>
      <c r="E3" s="30">
        <v>45731</v>
      </c>
      <c r="F3" s="29">
        <f ca="1">E3-TODAY()</f>
        <v>-92</v>
      </c>
      <c r="G3" s="29" t="s">
        <v>14</v>
      </c>
      <c r="H3" s="29" t="s">
        <v>12</v>
      </c>
      <c r="I3" s="31">
        <v>0.65</v>
      </c>
      <c r="J3" s="29" t="s">
        <v>35</v>
      </c>
      <c r="K3" s="29" t="s">
        <v>36</v>
      </c>
      <c r="L3" s="29" t="s">
        <v>37</v>
      </c>
    </row>
    <row r="4" spans="1:12" ht="15" x14ac:dyDescent="0.25">
      <c r="A4" s="29" t="s">
        <v>13</v>
      </c>
      <c r="B4" s="29" t="s">
        <v>38</v>
      </c>
      <c r="C4" s="29" t="s">
        <v>39</v>
      </c>
      <c r="D4" s="29" t="s">
        <v>40</v>
      </c>
      <c r="E4" s="30">
        <v>45576</v>
      </c>
      <c r="F4" s="29">
        <f ca="1">E4-TODAY()</f>
        <v>-247</v>
      </c>
      <c r="G4" s="29" t="s">
        <v>41</v>
      </c>
      <c r="H4" s="29" t="s">
        <v>12</v>
      </c>
      <c r="I4" s="31">
        <v>1</v>
      </c>
      <c r="J4" s="29" t="s">
        <v>42</v>
      </c>
      <c r="K4" s="29" t="s">
        <v>43</v>
      </c>
      <c r="L4" s="29" t="s">
        <v>44</v>
      </c>
    </row>
    <row r="5" spans="1:12" ht="15" x14ac:dyDescent="0.25">
      <c r="A5" s="32" t="s">
        <v>15</v>
      </c>
      <c r="B5" s="32" t="s">
        <v>45</v>
      </c>
      <c r="C5" s="32" t="s">
        <v>46</v>
      </c>
      <c r="D5" s="32" t="s">
        <v>16</v>
      </c>
      <c r="E5" s="33">
        <v>45611</v>
      </c>
      <c r="F5" s="32">
        <f ca="1">E5-TODAY()</f>
        <v>-212</v>
      </c>
      <c r="G5" s="32" t="s">
        <v>21</v>
      </c>
      <c r="H5" s="32" t="s">
        <v>17</v>
      </c>
      <c r="I5" s="34">
        <v>0.25</v>
      </c>
      <c r="J5" s="32" t="s">
        <v>47</v>
      </c>
      <c r="K5" s="32" t="s">
        <v>48</v>
      </c>
      <c r="L5" s="32" t="s">
        <v>49</v>
      </c>
    </row>
    <row r="6" spans="1:12" ht="15" x14ac:dyDescent="0.25">
      <c r="A6" s="29" t="s">
        <v>18</v>
      </c>
      <c r="B6" s="29" t="s">
        <v>19</v>
      </c>
      <c r="C6" s="29" t="s">
        <v>20</v>
      </c>
      <c r="D6" s="29" t="s">
        <v>34</v>
      </c>
      <c r="E6" s="30">
        <v>45601</v>
      </c>
      <c r="F6" s="29">
        <f ca="1">E6-TODAY()</f>
        <v>-222</v>
      </c>
      <c r="G6" s="29" t="s">
        <v>14</v>
      </c>
      <c r="H6" s="29" t="s">
        <v>12</v>
      </c>
      <c r="I6" s="31">
        <v>0.8</v>
      </c>
      <c r="J6" s="29" t="s">
        <v>50</v>
      </c>
      <c r="K6" s="29" t="s">
        <v>51</v>
      </c>
      <c r="L6" s="29" t="s">
        <v>52</v>
      </c>
    </row>
    <row r="7" spans="1:12" ht="28.5" x14ac:dyDescent="0.25">
      <c r="A7" s="29" t="s">
        <v>53</v>
      </c>
      <c r="B7" s="29" t="s">
        <v>54</v>
      </c>
      <c r="C7" s="44" t="s">
        <v>55</v>
      </c>
      <c r="D7" s="29" t="s">
        <v>34</v>
      </c>
      <c r="E7" s="30">
        <v>45566</v>
      </c>
      <c r="F7" s="29">
        <f ca="1">E7-TODAY()</f>
        <v>-257</v>
      </c>
      <c r="G7" s="29" t="s">
        <v>41</v>
      </c>
      <c r="H7" s="29" t="s">
        <v>12</v>
      </c>
      <c r="I7" s="31">
        <v>1</v>
      </c>
      <c r="J7" s="29" t="s">
        <v>42</v>
      </c>
      <c r="K7" s="29" t="s">
        <v>56</v>
      </c>
      <c r="L7" s="29" t="s">
        <v>57</v>
      </c>
    </row>
    <row r="8" spans="1:12" ht="15" x14ac:dyDescent="0.25">
      <c r="A8" s="29" t="s">
        <v>58</v>
      </c>
      <c r="B8" s="29" t="s">
        <v>59</v>
      </c>
      <c r="C8" s="29" t="s">
        <v>60</v>
      </c>
      <c r="D8" s="29" t="s">
        <v>34</v>
      </c>
      <c r="E8" s="30">
        <v>45629</v>
      </c>
      <c r="F8" s="29">
        <f ca="1">E8-TODAY()</f>
        <v>-194</v>
      </c>
      <c r="G8" s="29" t="s">
        <v>11</v>
      </c>
      <c r="H8" s="29" t="s">
        <v>12</v>
      </c>
      <c r="I8" s="31">
        <v>0.1</v>
      </c>
      <c r="J8" s="29" t="s">
        <v>47</v>
      </c>
      <c r="K8" s="29" t="s">
        <v>48</v>
      </c>
      <c r="L8" s="29" t="s">
        <v>61</v>
      </c>
    </row>
    <row r="9" spans="1:12" ht="15" x14ac:dyDescent="0.25">
      <c r="A9" s="29" t="s">
        <v>62</v>
      </c>
      <c r="B9" s="29" t="s">
        <v>63</v>
      </c>
      <c r="C9" s="29" t="s">
        <v>64</v>
      </c>
      <c r="D9" s="29" t="s">
        <v>40</v>
      </c>
      <c r="E9" s="30">
        <v>45574</v>
      </c>
      <c r="F9" s="29">
        <f ca="1">E9-TODAY()</f>
        <v>-249</v>
      </c>
      <c r="G9" s="29" t="s">
        <v>41</v>
      </c>
      <c r="H9" s="29" t="s">
        <v>12</v>
      </c>
      <c r="I9" s="31">
        <v>1</v>
      </c>
      <c r="J9" s="29" t="s">
        <v>42</v>
      </c>
      <c r="K9" s="29" t="s">
        <v>43</v>
      </c>
      <c r="L9" s="29" t="s">
        <v>65</v>
      </c>
    </row>
    <row r="10" spans="1:12" ht="15" x14ac:dyDescent="0.25">
      <c r="A10" s="32" t="s">
        <v>66</v>
      </c>
      <c r="B10" s="32" t="s">
        <v>67</v>
      </c>
      <c r="C10" s="32" t="s">
        <v>68</v>
      </c>
      <c r="D10" s="32" t="s">
        <v>69</v>
      </c>
      <c r="E10" s="33">
        <v>45825</v>
      </c>
      <c r="F10" s="32">
        <f ca="1">E10-TODAY()</f>
        <v>2</v>
      </c>
      <c r="G10" s="32" t="s">
        <v>11</v>
      </c>
      <c r="H10" s="32" t="s">
        <v>17</v>
      </c>
      <c r="I10" s="34">
        <v>0.05</v>
      </c>
      <c r="J10" s="32" t="s">
        <v>47</v>
      </c>
      <c r="K10" s="32" t="s">
        <v>70</v>
      </c>
      <c r="L10" s="32" t="s">
        <v>71</v>
      </c>
    </row>
    <row r="11" spans="1:12" ht="15" x14ac:dyDescent="0.25">
      <c r="A11" s="32" t="s">
        <v>72</v>
      </c>
      <c r="B11" s="32" t="s">
        <v>73</v>
      </c>
      <c r="C11" s="32" t="s">
        <v>74</v>
      </c>
      <c r="D11" s="32" t="s">
        <v>75</v>
      </c>
      <c r="E11" s="33">
        <v>45641</v>
      </c>
      <c r="F11" s="32">
        <f ca="1">E11-TODAY()</f>
        <v>-182</v>
      </c>
      <c r="G11" s="32" t="s">
        <v>21</v>
      </c>
      <c r="H11" s="32" t="s">
        <v>17</v>
      </c>
      <c r="I11" s="34">
        <v>0.3</v>
      </c>
      <c r="J11" s="32" t="s">
        <v>76</v>
      </c>
      <c r="K11" s="32" t="s">
        <v>48</v>
      </c>
      <c r="L11" s="32" t="s">
        <v>77</v>
      </c>
    </row>
    <row r="12" spans="1:12" ht="15" x14ac:dyDescent="0.25">
      <c r="A12" s="35" t="s">
        <v>78</v>
      </c>
      <c r="B12" s="35" t="s">
        <v>79</v>
      </c>
      <c r="C12" s="35" t="s">
        <v>80</v>
      </c>
      <c r="D12" s="35" t="s">
        <v>81</v>
      </c>
      <c r="E12" s="36">
        <v>45665</v>
      </c>
      <c r="F12" s="35">
        <f ca="1">E12-TODAY()</f>
        <v>-158</v>
      </c>
      <c r="G12" s="35" t="s">
        <v>14</v>
      </c>
      <c r="H12" s="35" t="s">
        <v>82</v>
      </c>
      <c r="I12" s="37">
        <v>0.5</v>
      </c>
      <c r="J12" s="35" t="s">
        <v>76</v>
      </c>
      <c r="K12" s="35" t="s">
        <v>83</v>
      </c>
      <c r="L12" s="35" t="s">
        <v>84</v>
      </c>
    </row>
  </sheetData>
  <mergeCells count="1">
    <mergeCell ref="A1:L1"/>
  </mergeCells>
  <pageMargins left="0.7" right="0.7" top="0.75" bottom="0.75" header="0.3" footer="0.3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2C93E-4908-4E6C-8BD4-ACCEDADFE0AC}">
  <sheetPr codeName="Sheet3">
    <tabColor rgb="FF4285F4"/>
  </sheetPr>
  <dimension ref="A1:H10"/>
  <sheetViews>
    <sheetView showGridLines="0" showRowColHeaders="0" workbookViewId="0">
      <selection activeCell="E6" sqref="E6"/>
    </sheetView>
  </sheetViews>
  <sheetFormatPr defaultRowHeight="15" x14ac:dyDescent="0.2"/>
  <cols>
    <col min="1" max="8" width="18.625" customWidth="1"/>
  </cols>
  <sheetData>
    <row r="1" spans="1:8" ht="39.950000000000003" customHeight="1" x14ac:dyDescent="0.45">
      <c r="A1" s="24" t="s">
        <v>103</v>
      </c>
      <c r="B1" s="2"/>
      <c r="C1" s="2"/>
      <c r="D1" s="2"/>
      <c r="E1" s="2"/>
      <c r="F1" s="2"/>
      <c r="G1" s="2"/>
      <c r="H1" s="2"/>
    </row>
    <row r="2" spans="1:8" ht="14.25" x14ac:dyDescent="0.2"/>
    <row r="3" spans="1:8" ht="24.95" customHeight="1" x14ac:dyDescent="0.2">
      <c r="A3" s="25" t="s">
        <v>85</v>
      </c>
      <c r="B3" s="45"/>
      <c r="C3" s="46"/>
      <c r="D3" s="46"/>
      <c r="E3" s="46"/>
      <c r="F3" s="46"/>
      <c r="G3" s="47"/>
      <c r="H3" s="25" t="s">
        <v>86</v>
      </c>
    </row>
    <row r="4" spans="1:8" ht="14.25" x14ac:dyDescent="0.2"/>
    <row r="5" spans="1:8" ht="24.95" customHeight="1" x14ac:dyDescent="0.2">
      <c r="A5" s="26" t="s">
        <v>23</v>
      </c>
      <c r="B5" s="26" t="s">
        <v>24</v>
      </c>
      <c r="C5" s="26" t="s">
        <v>25</v>
      </c>
      <c r="D5" s="26" t="s">
        <v>26</v>
      </c>
      <c r="E5" s="26" t="s">
        <v>27</v>
      </c>
      <c r="F5" s="26" t="s">
        <v>28</v>
      </c>
      <c r="G5" s="26" t="s">
        <v>29</v>
      </c>
    </row>
    <row r="6" spans="1:8" ht="60" customHeight="1" x14ac:dyDescent="0.2">
      <c r="E6" s="38">
        <v>1</v>
      </c>
      <c r="F6" s="38">
        <v>2</v>
      </c>
      <c r="G6" s="38">
        <v>3</v>
      </c>
    </row>
    <row r="7" spans="1:8" ht="60" customHeight="1" x14ac:dyDescent="0.2">
      <c r="A7" s="38">
        <v>4</v>
      </c>
      <c r="B7" s="38">
        <v>5</v>
      </c>
      <c r="C7" s="38">
        <v>6</v>
      </c>
      <c r="D7" s="38">
        <v>7</v>
      </c>
      <c r="E7" s="38">
        <v>8</v>
      </c>
      <c r="F7" s="38">
        <v>9</v>
      </c>
      <c r="G7" s="38">
        <v>10</v>
      </c>
    </row>
    <row r="8" spans="1:8" ht="60" customHeight="1" x14ac:dyDescent="0.2">
      <c r="A8" s="38">
        <v>11</v>
      </c>
      <c r="B8" s="38">
        <v>12</v>
      </c>
      <c r="C8" s="38">
        <v>13</v>
      </c>
      <c r="D8" s="38">
        <v>14</v>
      </c>
      <c r="E8" s="38">
        <v>15</v>
      </c>
      <c r="F8" s="38">
        <v>16</v>
      </c>
      <c r="G8" s="38">
        <v>17</v>
      </c>
    </row>
    <row r="9" spans="1:8" ht="60" customHeight="1" x14ac:dyDescent="0.2">
      <c r="A9" s="38">
        <v>18</v>
      </c>
      <c r="B9" s="38">
        <v>19</v>
      </c>
      <c r="C9" s="38">
        <v>20</v>
      </c>
      <c r="D9" s="38">
        <v>21</v>
      </c>
      <c r="E9" s="38">
        <v>22</v>
      </c>
      <c r="F9" s="38">
        <v>23</v>
      </c>
      <c r="G9" s="38">
        <v>24</v>
      </c>
    </row>
    <row r="10" spans="1:8" ht="60" customHeight="1" x14ac:dyDescent="0.2">
      <c r="A10" s="38">
        <v>25</v>
      </c>
      <c r="B10" s="38">
        <v>26</v>
      </c>
      <c r="C10" s="38">
        <v>27</v>
      </c>
      <c r="D10" s="38">
        <v>28</v>
      </c>
      <c r="E10" s="38">
        <v>29</v>
      </c>
      <c r="F10" s="38">
        <v>30</v>
      </c>
      <c r="G10" s="38">
        <v>31</v>
      </c>
    </row>
  </sheetData>
  <mergeCells count="2">
    <mergeCell ref="A1:H1"/>
    <mergeCell ref="B3:G3"/>
  </mergeCells>
  <pageMargins left="0.7" right="0.7" top="0.75" bottom="0.75" header="0.3" footer="0.3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35CC6-B36A-4CA4-96CD-A7F2B25662FE}">
  <sheetPr codeName="Sheet4">
    <tabColor rgb="FFFBBC05"/>
  </sheetPr>
  <dimension ref="A1:F32"/>
  <sheetViews>
    <sheetView workbookViewId="0">
      <selection sqref="A1:F1"/>
    </sheetView>
  </sheetViews>
  <sheetFormatPr defaultRowHeight="15" x14ac:dyDescent="0.2"/>
  <cols>
    <col min="1" max="1" width="27.375" customWidth="1"/>
    <col min="2" max="2" width="22.625" customWidth="1"/>
    <col min="3" max="3" width="11" customWidth="1"/>
    <col min="5" max="5" width="11.375" customWidth="1"/>
  </cols>
  <sheetData>
    <row r="1" spans="1:6" ht="24" customHeight="1" x14ac:dyDescent="0.45">
      <c r="A1" s="39" t="s">
        <v>100</v>
      </c>
      <c r="B1" s="2"/>
      <c r="C1" s="2"/>
      <c r="D1" s="2"/>
      <c r="E1" s="2"/>
      <c r="F1" s="2"/>
    </row>
    <row r="3" spans="1:6" ht="24.95" customHeight="1" x14ac:dyDescent="0.3">
      <c r="A3" s="9" t="s">
        <v>104</v>
      </c>
      <c r="B3" s="9"/>
      <c r="C3" s="9"/>
      <c r="D3" s="9"/>
      <c r="E3" s="9"/>
      <c r="F3" s="9"/>
    </row>
    <row r="4" spans="1:6" x14ac:dyDescent="0.25">
      <c r="A4" s="1" t="s">
        <v>87</v>
      </c>
      <c r="B4" s="1" t="s">
        <v>1</v>
      </c>
      <c r="C4" s="1" t="s">
        <v>88</v>
      </c>
      <c r="D4" s="1" t="s">
        <v>4</v>
      </c>
      <c r="E4" s="1" t="s">
        <v>5</v>
      </c>
      <c r="F4" s="1" t="s">
        <v>6</v>
      </c>
    </row>
    <row r="5" spans="1:6" ht="14.25" x14ac:dyDescent="0.2">
      <c r="A5" s="42" t="s">
        <v>67</v>
      </c>
      <c r="B5" s="42" t="s">
        <v>68</v>
      </c>
      <c r="C5" s="43">
        <v>45825</v>
      </c>
      <c r="D5" s="42">
        <v>2</v>
      </c>
      <c r="E5" s="42" t="s">
        <v>11</v>
      </c>
      <c r="F5" s="42" t="s">
        <v>17</v>
      </c>
    </row>
    <row r="12" spans="1:6" ht="24.95" customHeight="1" x14ac:dyDescent="0.3">
      <c r="A12" s="41" t="s">
        <v>101</v>
      </c>
      <c r="B12" s="41"/>
      <c r="C12" s="41"/>
      <c r="D12" s="41"/>
      <c r="E12" s="41"/>
      <c r="F12" s="41"/>
    </row>
    <row r="13" spans="1:6" x14ac:dyDescent="0.25">
      <c r="A13" s="1" t="s">
        <v>87</v>
      </c>
      <c r="B13" s="1" t="s">
        <v>1</v>
      </c>
      <c r="C13" s="1" t="s">
        <v>88</v>
      </c>
      <c r="D13" s="1" t="s">
        <v>4</v>
      </c>
      <c r="E13" s="1" t="s">
        <v>5</v>
      </c>
      <c r="F13" s="1" t="s">
        <v>6</v>
      </c>
    </row>
    <row r="14" spans="1:6" ht="14.25" x14ac:dyDescent="0.2">
      <c r="A14" s="40" t="s">
        <v>89</v>
      </c>
    </row>
    <row r="21" spans="1:6" ht="24.95" customHeight="1" x14ac:dyDescent="0.3">
      <c r="A21" s="12" t="s">
        <v>90</v>
      </c>
      <c r="B21" s="12"/>
      <c r="C21" s="12"/>
      <c r="D21" s="12"/>
      <c r="E21" s="12"/>
      <c r="F21" s="12"/>
    </row>
    <row r="22" spans="1:6" x14ac:dyDescent="0.25">
      <c r="A22" s="1" t="s">
        <v>87</v>
      </c>
      <c r="B22" s="1" t="s">
        <v>1</v>
      </c>
      <c r="C22" s="1" t="s">
        <v>88</v>
      </c>
      <c r="D22" s="1" t="s">
        <v>4</v>
      </c>
      <c r="E22" s="1" t="s">
        <v>5</v>
      </c>
      <c r="F22" s="1" t="s">
        <v>6</v>
      </c>
    </row>
    <row r="23" spans="1:6" ht="14.25" x14ac:dyDescent="0.2">
      <c r="A23" s="40" t="s">
        <v>89</v>
      </c>
    </row>
    <row r="30" spans="1:6" ht="24.95" customHeight="1" x14ac:dyDescent="0.3">
      <c r="A30" s="6" t="s">
        <v>91</v>
      </c>
      <c r="B30" s="6"/>
      <c r="C30" s="6"/>
      <c r="D30" s="6"/>
      <c r="E30" s="6"/>
      <c r="F30" s="6"/>
    </row>
    <row r="31" spans="1:6" x14ac:dyDescent="0.25">
      <c r="A31" s="1" t="s">
        <v>87</v>
      </c>
      <c r="B31" s="1" t="s">
        <v>1</v>
      </c>
      <c r="C31" s="1" t="s">
        <v>88</v>
      </c>
      <c r="D31" s="1" t="s">
        <v>4</v>
      </c>
      <c r="E31" s="1" t="s">
        <v>5</v>
      </c>
      <c r="F31" s="1" t="s">
        <v>6</v>
      </c>
    </row>
    <row r="32" spans="1:6" ht="14.25" x14ac:dyDescent="0.2">
      <c r="A32" s="40" t="s">
        <v>89</v>
      </c>
    </row>
  </sheetData>
  <mergeCells count="5">
    <mergeCell ref="A1:F1"/>
    <mergeCell ref="A3:F3"/>
    <mergeCell ref="A12:F12"/>
    <mergeCell ref="A21:F21"/>
    <mergeCell ref="A30:F3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Deadlines</vt:lpstr>
      <vt:lpstr>Calendar</vt:lpstr>
      <vt:lpstr>Alerts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Zubayr Akande</dc:creator>
  <cp:lastModifiedBy>Zubayr Akande</cp:lastModifiedBy>
  <dcterms:created xsi:type="dcterms:W3CDTF">2025-06-15T09:20:44Z</dcterms:created>
  <dcterms:modified xsi:type="dcterms:W3CDTF">2025-06-15T12:48:43Z</dcterms:modified>
</cp:coreProperties>
</file>