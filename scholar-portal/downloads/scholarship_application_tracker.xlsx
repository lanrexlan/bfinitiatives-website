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D9B369A-0DDF-4A54-91AD-D23D3EB322C1}" xr6:coauthVersionLast="47" xr6:coauthVersionMax="47" xr10:uidLastSave="{00000000-0000-0000-0000-000000000000}"/>
  <bookViews>
    <workbookView xWindow="-120" yWindow="-120" windowWidth="20730" windowHeight="11040" xr2:uid="{75767C1F-9FA0-444A-801A-745BF019D76B}"/>
  </bookViews>
  <sheets>
    <sheet name="Main Tracker" sheetId="1" r:id="rId1"/>
    <sheet name="Country Comparison" sheetId="14" r:id="rId2"/>
    <sheet name="Document Checklist" sheetId="15" r:id="rId3"/>
    <sheet name="Recommendation Letters" sheetId="16" r:id="rId4"/>
    <sheet name="Dashboard" sheetId="17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7" l="1"/>
  <c r="B6" i="17"/>
  <c r="B5" i="17"/>
  <c r="B4" i="17"/>
  <c r="G3" i="16"/>
  <c r="G2" i="16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<sst xmlns="http://schemas.openxmlformats.org/spreadsheetml/2006/main" count="412" uniqueCount="291">
  <si>
    <t>ID</t>
  </si>
  <si>
    <t>Scholarship Name</t>
  </si>
  <si>
    <t>Country</t>
  </si>
  <si>
    <t>Institution/Organization</t>
  </si>
  <si>
    <t>Field of Study</t>
  </si>
  <si>
    <t>Degree Level</t>
  </si>
  <si>
    <t>Award Amount</t>
  </si>
  <si>
    <t>Currency</t>
  </si>
  <si>
    <t>Application Opens</t>
  </si>
  <si>
    <t>Application Deadline</t>
  </si>
  <si>
    <t>Days Remaining</t>
  </si>
  <si>
    <t>Priority Deadline</t>
  </si>
  <si>
    <t>Website URL</t>
  </si>
  <si>
    <t>Login Username</t>
  </si>
  <si>
    <t>Language Requirements</t>
  </si>
  <si>
    <t>GPA Requirements</t>
  </si>
  <si>
    <t>Required Documents</t>
  </si>
  <si>
    <t>Essay Required</t>
  </si>
  <si>
    <t>Essay Prompt</t>
  </si>
  <si>
    <t>Application Status</t>
  </si>
  <si>
    <t>Submission Date</t>
  </si>
  <si>
    <t>Follow-up Date</t>
  </si>
  <si>
    <t>Notes</t>
  </si>
  <si>
    <t>Chevening Scholarship</t>
  </si>
  <si>
    <t>United Kingdom</t>
  </si>
  <si>
    <t>UK Government</t>
  </si>
  <si>
    <t>Any</t>
  </si>
  <si>
    <t>Master's</t>
  </si>
  <si>
    <t>Full Funding</t>
  </si>
  <si>
    <t>GBP</t>
  </si>
  <si>
    <t>https://chevening.org</t>
  </si>
  <si>
    <t>IELTS 6.5</t>
  </si>
  <si>
    <t>Upper Second Class</t>
  </si>
  <si>
    <t>CV, Personal Statement, References</t>
  </si>
  <si>
    <t>Yes</t>
  </si>
  <si>
    <t>Leadership and networking essay</t>
  </si>
  <si>
    <t>In Progress</t>
  </si>
  <si>
    <t>Need to finish essay</t>
  </si>
  <si>
    <t>Fulbright Foreign Student Program</t>
  </si>
  <si>
    <t>United States</t>
  </si>
  <si>
    <t>US Department of State</t>
  </si>
  <si>
    <t>$30,000-$50,000</t>
  </si>
  <si>
    <t>USD</t>
  </si>
  <si>
    <t>https://foreign.fulbrightonline.org</t>
  </si>
  <si>
    <t>TOEFL 80</t>
  </si>
  <si>
    <t>3.0 GPA</t>
  </si>
  <si>
    <t>Transcripts, SOP, References, TOEFL</t>
  </si>
  <si>
    <t>Study objectives and personal statement</t>
  </si>
  <si>
    <t>Not Started</t>
  </si>
  <si>
    <t>Research host institutions</t>
  </si>
  <si>
    <t>Australia Awards Scholarship</t>
  </si>
  <si>
    <t>Australia</t>
  </si>
  <si>
    <t>Australian Government</t>
  </si>
  <si>
    <t>AUD</t>
  </si>
  <si>
    <t>https://australiaawards.gov.au</t>
  </si>
  <si>
    <t>Equivalent to Australian Bachelor</t>
  </si>
  <si>
    <t>Academic records, References, IELTS</t>
  </si>
  <si>
    <t>Development impact essay</t>
  </si>
  <si>
    <t>Past due</t>
  </si>
  <si>
    <t>Contact Australian Embassy</t>
  </si>
  <si>
    <t>DAAD Scholarships</t>
  </si>
  <si>
    <t>Germany</t>
  </si>
  <si>
    <t>German Academic Exchange Service</t>
  </si>
  <si>
    <t>€850/month + benefits</t>
  </si>
  <si>
    <t>EUR</t>
  </si>
  <si>
    <t>https://daad.de</t>
  </si>
  <si>
    <t>German B2 or English</t>
  </si>
  <si>
    <t>2.5 German scale</t>
  </si>
  <si>
    <t>CV, Motivation letter, References</t>
  </si>
  <si>
    <t>Study plan and motivation</t>
  </si>
  <si>
    <t>Learn basic German</t>
  </si>
  <si>
    <t>Erasmus Mundus Joint Masters</t>
  </si>
  <si>
    <t>European Union</t>
  </si>
  <si>
    <t>European Commission</t>
  </si>
  <si>
    <t>Various</t>
  </si>
  <si>
    <t>€1,000-€4,000/month</t>
  </si>
  <si>
    <t>https://eacea.ec.europa.eu</t>
  </si>
  <si>
    <t>English C1</t>
  </si>
  <si>
    <t>Bachelor's degree</t>
  </si>
  <si>
    <t>Transcripts, CV, SOP, References</t>
  </si>
  <si>
    <t>Motivation letter</t>
  </si>
  <si>
    <t>Choose 3 preferred programs</t>
  </si>
  <si>
    <t>Gates Cambridge Scholarship</t>
  </si>
  <si>
    <t>Gates Cambridge Trust</t>
  </si>
  <si>
    <t>PhD</t>
  </si>
  <si>
    <t>https://gatescambridge.org</t>
  </si>
  <si>
    <t>IELTS 7.0</t>
  </si>
  <si>
    <t>First Class Honours</t>
  </si>
  <si>
    <t>Research proposal, CV, References</t>
  </si>
  <si>
    <t>Personal statement on leadership</t>
  </si>
  <si>
    <t>Strong research proposal needed</t>
  </si>
  <si>
    <t>Rhodes Scholarship</t>
  </si>
  <si>
    <t>Rhodes Trust</t>
  </si>
  <si>
    <t>https://rhodeshouse.ox.ac.uk</t>
  </si>
  <si>
    <t>English proficiency</t>
  </si>
  <si>
    <t>3.7+ GPA</t>
  </si>
  <si>
    <t>Essays, References, Transcripts</t>
  </si>
  <si>
    <t>Personal statement</t>
  </si>
  <si>
    <t>Apply through national committee</t>
  </si>
  <si>
    <t>Chinese Government Scholarship</t>
  </si>
  <si>
    <t>China</t>
  </si>
  <si>
    <t>China Scholarship Council</t>
  </si>
  <si>
    <t>Tuition + Stipend</t>
  </si>
  <si>
    <t>CNY</t>
  </si>
  <si>
    <t>https://csc.edu.cn</t>
  </si>
  <si>
    <t>Chinese or English</t>
  </si>
  <si>
    <t>Good academic record</t>
  </si>
  <si>
    <t>Application form, Study plan</t>
  </si>
  <si>
    <t>Study plan in China</t>
  </si>
  <si>
    <t>Apply through Chinese embassy</t>
  </si>
  <si>
    <t>Vanier Canada Graduate Scholarships</t>
  </si>
  <si>
    <t>Canada</t>
  </si>
  <si>
    <t>Government of Canada</t>
  </si>
  <si>
    <t>$50,000/year</t>
  </si>
  <si>
    <t>CAD</t>
  </si>
  <si>
    <t>https://vanier.gc.ca</t>
  </si>
  <si>
    <t>English/French</t>
  </si>
  <si>
    <t>High academic standing</t>
  </si>
  <si>
    <t>Leadership statement</t>
  </si>
  <si>
    <t>Need Canadian university nomination</t>
  </si>
  <si>
    <t>Swiss Government Excellence Scholarships</t>
  </si>
  <si>
    <t>Switzerland</t>
  </si>
  <si>
    <t>Swiss Government</t>
  </si>
  <si>
    <t>CHF 1,920/month</t>
  </si>
  <si>
    <t>CHF</t>
  </si>
  <si>
    <t>https://sbfi.admin.ch</t>
  </si>
  <si>
    <t>English/German/French</t>
  </si>
  <si>
    <t>Excellent academic record</t>
  </si>
  <si>
    <t>Research motivation</t>
  </si>
  <si>
    <t>Contact Swiss embassy</t>
  </si>
  <si>
    <t>MEXT Scholarship</t>
  </si>
  <si>
    <t>Japan</t>
  </si>
  <si>
    <t>Ministry of Education Japan</t>
  </si>
  <si>
    <t>¥143,000/month</t>
  </si>
  <si>
    <t>JPY</t>
  </si>
  <si>
    <t>https://mext.go.jp</t>
  </si>
  <si>
    <t>Japanese or English</t>
  </si>
  <si>
    <t>Application form, Research plan</t>
  </si>
  <si>
    <t>Field of study and research plan</t>
  </si>
  <si>
    <t>Apply through Japanese embassy</t>
  </si>
  <si>
    <t>Korean Government Scholarship</t>
  </si>
  <si>
    <t>South Korea</t>
  </si>
  <si>
    <t>NIIED</t>
  </si>
  <si>
    <t>Full tuition + stipend</t>
  </si>
  <si>
    <t>KRW</t>
  </si>
  <si>
    <t>https://studyinkorea.go.kr</t>
  </si>
  <si>
    <t>Korean or English</t>
  </si>
  <si>
    <t>2.64+ GPA</t>
  </si>
  <si>
    <t>Personal statement and study plan</t>
  </si>
  <si>
    <t>Korean language helpful</t>
  </si>
  <si>
    <t>Eiffel Excellence Scholarship</t>
  </si>
  <si>
    <t>France</t>
  </si>
  <si>
    <t>French Ministry</t>
  </si>
  <si>
    <t>Engineering/Economics/Law</t>
  </si>
  <si>
    <t>€1,181/month</t>
  </si>
  <si>
    <t>https://campusfrance.org</t>
  </si>
  <si>
    <t>French B2 or English</t>
  </si>
  <si>
    <t>Motivation letter, CV, Transcripts</t>
  </si>
  <si>
    <t>Apply through French institution</t>
  </si>
  <si>
    <t>Swedish Institute Scholarships</t>
  </si>
  <si>
    <t>Sweden</t>
  </si>
  <si>
    <t>Swedish Institute</t>
  </si>
  <si>
    <t>SEK</t>
  </si>
  <si>
    <t>https://si.se</t>
  </si>
  <si>
    <t>CV, SOP, References</t>
  </si>
  <si>
    <t>Leadership experience valued</t>
  </si>
  <si>
    <t>Commonwealth Scholarship</t>
  </si>
  <si>
    <t>Commonwealth Scholarship Commission</t>
  </si>
  <si>
    <t>Full funding</t>
  </si>
  <si>
    <t>https://cscuk.fcdo.gov.uk</t>
  </si>
  <si>
    <t>Upper second class</t>
  </si>
  <si>
    <t>Development impact statement</t>
  </si>
  <si>
    <t>For Commonwealth countries</t>
  </si>
  <si>
    <t>World Bank Graduate Scholarship</t>
  </si>
  <si>
    <t>World Bank</t>
  </si>
  <si>
    <t>Development-related</t>
  </si>
  <si>
    <t>https://worldbank.org</t>
  </si>
  <si>
    <t>Development essay</t>
  </si>
  <si>
    <t>Must return to home country</t>
  </si>
  <si>
    <t>Schwarzman Scholars</t>
  </si>
  <si>
    <t>Schwarzman Foundation</t>
  </si>
  <si>
    <t>https://schwarzmanscholars.org</t>
  </si>
  <si>
    <t>Essays, References, Interview</t>
  </si>
  <si>
    <t>Leadership and global essay</t>
  </si>
  <si>
    <t>Leadership focus at Tsinghua</t>
  </si>
  <si>
    <t>Rotary Peace Fellowship</t>
  </si>
  <si>
    <t>Rotary Foundation</t>
  </si>
  <si>
    <t>Peace studies</t>
  </si>
  <si>
    <t>https://rotary.org</t>
  </si>
  <si>
    <t>Strong academic record</t>
  </si>
  <si>
    <t>Peace and conflict resolution</t>
  </si>
  <si>
    <t>Peace and conflict focus</t>
  </si>
  <si>
    <t>Hubert Humphrey Fellowship</t>
  </si>
  <si>
    <t>US Government</t>
  </si>
  <si>
    <t>Fellowship</t>
  </si>
  <si>
    <t>https://humphreyfellowship.org</t>
  </si>
  <si>
    <t>5+ years experience</t>
  </si>
  <si>
    <t>Application, References, Interview</t>
  </si>
  <si>
    <t>Professional goals</t>
  </si>
  <si>
    <t>Professional development focus</t>
  </si>
  <si>
    <t>Common Application Period</t>
  </si>
  <si>
    <t>Average Tuition (Local)</t>
  </si>
  <si>
    <t>Average Tuition (USD)</t>
  </si>
  <si>
    <t>Monthly Living Expenses (USD)</t>
  </si>
  <si>
    <t>Visa Processing Time</t>
  </si>
  <si>
    <t>Work Rights During Study</t>
  </si>
  <si>
    <t>Post-Study Work Options</t>
  </si>
  <si>
    <t>Notable Scholarship Programs</t>
  </si>
  <si>
    <t>Application Fees</t>
  </si>
  <si>
    <t>Safety Index (1-10)</t>
  </si>
  <si>
    <t>Aug - Nov</t>
  </si>
  <si>
    <t>IELTS 6.5+</t>
  </si>
  <si>
    <t>£15,000-£35,000</t>
  </si>
  <si>
    <t>$20,000-$45,000</t>
  </si>
  <si>
    <t>$1,200-$2,000</t>
  </si>
  <si>
    <t>15-30 days</t>
  </si>
  <si>
    <t>Limited (20 hrs/week)</t>
  </si>
  <si>
    <t>2 years PSW visa</t>
  </si>
  <si>
    <t>Chevening, Commonwealth, Gates Cambridge</t>
  </si>
  <si>
    <t>$50-150</t>
  </si>
  <si>
    <t>Strong research universities</t>
  </si>
  <si>
    <t>Sep - Jan</t>
  </si>
  <si>
    <t>TOEFL 80+ or IELTS 6.5+</t>
  </si>
  <si>
    <t>$20,000-$60,000</t>
  </si>
  <si>
    <t>$1,000-$2,500</t>
  </si>
  <si>
    <t>30-60 days</t>
  </si>
  <si>
    <t>OPT 1-3 years</t>
  </si>
  <si>
    <t>Fulbright, Hubert Humphrey</t>
  </si>
  <si>
    <t>$50-200</t>
  </si>
  <si>
    <t>World's largest higher education system</t>
  </si>
  <si>
    <t>Oct - Mar</t>
  </si>
  <si>
    <t>€150-350/semester</t>
  </si>
  <si>
    <t>$500-$1,000</t>
  </si>
  <si>
    <t>$800-$1,200</t>
  </si>
  <si>
    <t>45-60 days</t>
  </si>
  <si>
    <t>120 full days/year</t>
  </si>
  <si>
    <t>18 months job search</t>
  </si>
  <si>
    <t>DAAD, Deutschlandstipendium</t>
  </si>
  <si>
    <t>$0-300</t>
  </si>
  <si>
    <t>Low tuition fees, high quality</t>
  </si>
  <si>
    <t>Feb - Jul</t>
  </si>
  <si>
    <t>AUD 20,000-45,000</t>
  </si>
  <si>
    <t>$15,000-$35,000</t>
  </si>
  <si>
    <t>30-45 days</t>
  </si>
  <si>
    <t>40 hrs/fortnight</t>
  </si>
  <si>
    <t>2-4 years PSW visa</t>
  </si>
  <si>
    <t>Australia Awards, Endeavour</t>
  </si>
  <si>
    <t>$100-150</t>
  </si>
  <si>
    <t>High quality education system</t>
  </si>
  <si>
    <t>Document Type</t>
  </si>
  <si>
    <t>Chevening</t>
  </si>
  <si>
    <t>Fulbright</t>
  </si>
  <si>
    <t>DAAD</t>
  </si>
  <si>
    <t>Gates Cambridge</t>
  </si>
  <si>
    <t>Australia Awards</t>
  </si>
  <si>
    <t>Passport Copy</t>
  </si>
  <si>
    <t>Transcripts - Original</t>
  </si>
  <si>
    <t>CV/Resume</t>
  </si>
  <si>
    <t>Personal Statement</t>
  </si>
  <si>
    <t>Research Proposal</t>
  </si>
  <si>
    <t>Recommendation Letter 1</t>
  </si>
  <si>
    <t>Recommendation Letter 2</t>
  </si>
  <si>
    <t>Language Test Scores</t>
  </si>
  <si>
    <t>Financial Statements</t>
  </si>
  <si>
    <t>Motivation Letter</t>
  </si>
  <si>
    <t>Recommender Name</t>
  </si>
  <si>
    <t>Institution/Company</t>
  </si>
  <si>
    <t>Position/Title</t>
  </si>
  <si>
    <t>Email</t>
  </si>
  <si>
    <t>Date Requested</t>
  </si>
  <si>
    <t>Deadline Given</t>
  </si>
  <si>
    <t>Days Until Due</t>
  </si>
  <si>
    <t>Scholarship(s) Using For</t>
  </si>
  <si>
    <t>Status</t>
  </si>
  <si>
    <t>Dr. John Smith</t>
  </si>
  <si>
    <t>University of Lagos</t>
  </si>
  <si>
    <t>Professor</t>
  </si>
  <si>
    <t>j.smith@unilag.edu.ng</t>
  </si>
  <si>
    <t>Chevening, Commonwealth</t>
  </si>
  <si>
    <t>Prof. Mary Johnson</t>
  </si>
  <si>
    <t>University of Cape Town</t>
  </si>
  <si>
    <t>Department Head</t>
  </si>
  <si>
    <t>m.johnson@uct.ac.za</t>
  </si>
  <si>
    <t>Fulbright, Gates Cambridge</t>
  </si>
  <si>
    <t>Complete</t>
  </si>
  <si>
    <t>SCHOLARSHIP APPLICATION DASHBOARD</t>
  </si>
  <si>
    <t>APPLICATION SUMMARY</t>
  </si>
  <si>
    <t>Total Scholarships Tracked:</t>
  </si>
  <si>
    <t>Applications In Progress:</t>
  </si>
  <si>
    <t>Applications Submitted:</t>
  </si>
  <si>
    <t>Success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</si>
</sst>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361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5" fontId="0" fillId="0" borderId="1" xfId="0" applyNumberFormat="1" applyBorder="1"/>
    <xf numFmtId="6" fontId="0" fillId="0" borderId="1" xfId="0" applyNumberFormat="1" applyBorder="1"/>
    <xf numFmtId="14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6">
    <dxf>
      <font>
        <color rgb="FF155724"/>
      </font>
      <fill>
        <patternFill>
          <bgColor rgb="FFD4EDDA"/>
        </patternFill>
      </fill>
    </dxf>
    <dxf>
      <font>
        <color rgb="FF856404"/>
      </font>
      <fill>
        <patternFill>
          <bgColor rgb="FFFFF3CD"/>
        </patternFill>
      </fill>
    </dxf>
    <dxf>
      <font>
        <color rgb="FF721C24"/>
      </font>
      <fill>
        <patternFill>
          <bgColor rgb="FFF8D7DA"/>
        </patternFill>
      </fill>
    </dxf>
    <dxf>
      <font>
        <color rgb="FF155724"/>
      </font>
      <fill>
        <patternFill>
          <bgColor rgb="FFD4EDDA"/>
        </patternFill>
      </fill>
    </dxf>
    <dxf>
      <font>
        <color rgb="FF856404"/>
      </font>
      <fill>
        <patternFill>
          <bgColor rgb="FFFFF3CD"/>
        </patternFill>
      </fill>
    </dxf>
    <dxf>
      <font>
        <color rgb="FF721C24"/>
      </font>
      <fill>
        <patternFill>
          <bgColor rgb="FFF8D7DA"/>
        </patternFill>
      </fill>
    </dxf>
  </dxfs>
  <tableStyles count="1" defaultTableStyle="TableStyleMedium2" defaultPivotStyle="PivotStyleLight16">
    <tableStyle name="Invisible" pivot="0" table="0" count="0" xr9:uid="{C8262975-0360-431D-9C6C-A26BD7B505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A6CA-E246-42B1-B477-9662728D1CF8}">
  <sheetPr codeName="Sheet1"/>
  <dimension ref="A1:W20"/>
  <sheetViews>
    <sheetView tabSelected="1" workbookViewId="0">
      <pane ySplit="1" topLeftCell="A2" activePane="bottomLeft" state="frozen"/>
      <selection pane="bottomLeft" activeCell="N4" sqref="N4"/>
    </sheetView>
  </sheetViews>
  <sheetFormatPr defaultRowHeight="15" x14ac:dyDescent="0.25"/>
  <cols>
    <col min="1" max="1" width="3" bestFit="1" customWidth="1"/>
    <col min="2" max="2" width="39.7109375" bestFit="1" customWidth="1"/>
    <col min="3" max="3" width="15.42578125" bestFit="1" customWidth="1"/>
    <col min="4" max="4" width="38" bestFit="1" customWidth="1"/>
    <col min="5" max="5" width="26.5703125" bestFit="1" customWidth="1"/>
    <col min="6" max="6" width="12.5703125" bestFit="1" customWidth="1"/>
    <col min="7" max="7" width="21.42578125" bestFit="1" customWidth="1"/>
    <col min="8" max="8" width="8.85546875" bestFit="1" customWidth="1"/>
    <col min="9" max="9" width="17.5703125" bestFit="1" customWidth="1"/>
    <col min="10" max="10" width="19.85546875" bestFit="1" customWidth="1"/>
    <col min="11" max="11" width="15.140625" bestFit="1" customWidth="1"/>
    <col min="12" max="12" width="16.140625" bestFit="1" customWidth="1"/>
    <col min="13" max="13" width="32.42578125" bestFit="1" customWidth="1"/>
    <col min="14" max="14" width="15.42578125" bestFit="1" customWidth="1"/>
    <col min="15" max="15" width="22.7109375" bestFit="1" customWidth="1"/>
    <col min="16" max="16" width="31" bestFit="1" customWidth="1"/>
    <col min="17" max="17" width="33.85546875" bestFit="1" customWidth="1"/>
    <col min="18" max="18" width="14.42578125" bestFit="1" customWidth="1"/>
    <col min="19" max="19" width="38" bestFit="1" customWidth="1"/>
    <col min="20" max="20" width="17.28515625" bestFit="1" customWidth="1"/>
    <col min="21" max="21" width="15.85546875" bestFit="1" customWidth="1"/>
    <col min="22" max="22" width="14.7109375" bestFit="1" customWidth="1"/>
    <col min="23" max="23" width="35.28515625" bestFit="1" customWidth="1"/>
  </cols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4">
        <v>45505</v>
      </c>
      <c r="J2" s="4">
        <v>45601</v>
      </c>
      <c r="K2" s="3" t="str">
        <f ca="1">IF(J2&gt;TODAY(),J2-TODAY(),"Past due")</f>
        <v>Past due</v>
      </c>
      <c r="L2" s="3"/>
      <c r="M2" s="3" t="s">
        <v>30</v>
      </c>
      <c r="N2" s="3"/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/>
      <c r="V2" s="3"/>
      <c r="W2" s="3" t="s">
        <v>37</v>
      </c>
    </row>
    <row r="3" spans="1:23" x14ac:dyDescent="0.25">
      <c r="A3" s="3">
        <v>2</v>
      </c>
      <c r="B3" s="3" t="s">
        <v>38</v>
      </c>
      <c r="C3" s="3" t="s">
        <v>39</v>
      </c>
      <c r="D3" s="3" t="s">
        <v>40</v>
      </c>
      <c r="E3" s="3" t="s">
        <v>26</v>
      </c>
      <c r="F3" s="3" t="s">
        <v>27</v>
      </c>
      <c r="G3" s="3" t="s">
        <v>41</v>
      </c>
      <c r="H3" s="3" t="s">
        <v>42</v>
      </c>
      <c r="I3" s="4">
        <v>45383</v>
      </c>
      <c r="J3" s="4">
        <v>45580</v>
      </c>
      <c r="K3" s="3" t="str">
        <f ca="1">IF(J3&gt;TODAY(),J3-TODAY(),"Past due")</f>
        <v>Past due</v>
      </c>
      <c r="L3" s="3"/>
      <c r="M3" s="3" t="s">
        <v>43</v>
      </c>
      <c r="N3" s="3"/>
      <c r="O3" s="3" t="s">
        <v>44</v>
      </c>
      <c r="P3" s="3" t="s">
        <v>45</v>
      </c>
      <c r="Q3" s="3" t="s">
        <v>46</v>
      </c>
      <c r="R3" s="3" t="s">
        <v>34</v>
      </c>
      <c r="S3" s="3" t="s">
        <v>47</v>
      </c>
      <c r="T3" s="3" t="s">
        <v>48</v>
      </c>
      <c r="U3" s="3"/>
      <c r="V3" s="3"/>
      <c r="W3" s="3" t="s">
        <v>49</v>
      </c>
    </row>
    <row r="4" spans="1:23" x14ac:dyDescent="0.25">
      <c r="A4" s="3">
        <v>3</v>
      </c>
      <c r="B4" s="3" t="s">
        <v>50</v>
      </c>
      <c r="C4" s="3" t="s">
        <v>51</v>
      </c>
      <c r="D4" s="3" t="s">
        <v>52</v>
      </c>
      <c r="E4" s="3" t="s">
        <v>26</v>
      </c>
      <c r="F4" s="3" t="s">
        <v>27</v>
      </c>
      <c r="G4" s="3" t="s">
        <v>28</v>
      </c>
      <c r="H4" s="3" t="s">
        <v>53</v>
      </c>
      <c r="I4" s="4">
        <v>45323</v>
      </c>
      <c r="J4" s="4">
        <v>45412</v>
      </c>
      <c r="K4" s="3" t="str">
        <f ca="1">IF(J4&gt;TODAY(),J4-TODAY(),"Past due")</f>
        <v>Past due</v>
      </c>
      <c r="L4" s="3"/>
      <c r="M4" s="3" t="s">
        <v>54</v>
      </c>
      <c r="N4" s="3"/>
      <c r="O4" s="3" t="s">
        <v>31</v>
      </c>
      <c r="P4" s="3" t="s">
        <v>55</v>
      </c>
      <c r="Q4" s="3" t="s">
        <v>56</v>
      </c>
      <c r="R4" s="3" t="s">
        <v>34</v>
      </c>
      <c r="S4" s="3" t="s">
        <v>57</v>
      </c>
      <c r="T4" s="3" t="s">
        <v>58</v>
      </c>
      <c r="U4" s="3"/>
      <c r="V4" s="3"/>
      <c r="W4" s="3" t="s">
        <v>59</v>
      </c>
    </row>
    <row r="5" spans="1:23" x14ac:dyDescent="0.25">
      <c r="A5" s="3">
        <v>4</v>
      </c>
      <c r="B5" s="3" t="s">
        <v>60</v>
      </c>
      <c r="C5" s="3" t="s">
        <v>61</v>
      </c>
      <c r="D5" s="3" t="s">
        <v>62</v>
      </c>
      <c r="E5" s="3" t="s">
        <v>26</v>
      </c>
      <c r="F5" s="3" t="s">
        <v>27</v>
      </c>
      <c r="G5" s="3" t="s">
        <v>63</v>
      </c>
      <c r="H5" s="3" t="s">
        <v>64</v>
      </c>
      <c r="I5" s="4">
        <v>45505</v>
      </c>
      <c r="J5" s="4">
        <v>45596</v>
      </c>
      <c r="K5" s="3" t="str">
        <f ca="1">IF(J5&gt;TODAY(),J5-TODAY(),"Past due")</f>
        <v>Past due</v>
      </c>
      <c r="L5" s="3"/>
      <c r="M5" s="3" t="s">
        <v>65</v>
      </c>
      <c r="N5" s="3"/>
      <c r="O5" s="3" t="s">
        <v>66</v>
      </c>
      <c r="P5" s="3" t="s">
        <v>67</v>
      </c>
      <c r="Q5" s="3" t="s">
        <v>68</v>
      </c>
      <c r="R5" s="3" t="s">
        <v>34</v>
      </c>
      <c r="S5" s="3" t="s">
        <v>69</v>
      </c>
      <c r="T5" s="3" t="s">
        <v>36</v>
      </c>
      <c r="U5" s="3"/>
      <c r="V5" s="3"/>
      <c r="W5" s="3" t="s">
        <v>70</v>
      </c>
    </row>
    <row r="6" spans="1:23" x14ac:dyDescent="0.25">
      <c r="A6" s="3">
        <v>5</v>
      </c>
      <c r="B6" s="3" t="s">
        <v>71</v>
      </c>
      <c r="C6" s="3" t="s">
        <v>72</v>
      </c>
      <c r="D6" s="3" t="s">
        <v>73</v>
      </c>
      <c r="E6" s="3" t="s">
        <v>74</v>
      </c>
      <c r="F6" s="3" t="s">
        <v>27</v>
      </c>
      <c r="G6" s="3" t="s">
        <v>75</v>
      </c>
      <c r="H6" s="3" t="s">
        <v>64</v>
      </c>
      <c r="I6" s="4">
        <v>45566</v>
      </c>
      <c r="J6" s="4">
        <v>45672</v>
      </c>
      <c r="K6" s="3" t="str">
        <f ca="1">IF(J6&gt;TODAY(),J6-TODAY(),"Past due")</f>
        <v>Past due</v>
      </c>
      <c r="L6" s="3"/>
      <c r="M6" s="3" t="s">
        <v>76</v>
      </c>
      <c r="N6" s="3"/>
      <c r="O6" s="3" t="s">
        <v>77</v>
      </c>
      <c r="P6" s="3" t="s">
        <v>78</v>
      </c>
      <c r="Q6" s="3" t="s">
        <v>79</v>
      </c>
      <c r="R6" s="3" t="s">
        <v>34</v>
      </c>
      <c r="S6" s="3" t="s">
        <v>80</v>
      </c>
      <c r="T6" s="3" t="s">
        <v>48</v>
      </c>
      <c r="U6" s="3"/>
      <c r="V6" s="3"/>
      <c r="W6" s="3" t="s">
        <v>81</v>
      </c>
    </row>
    <row r="7" spans="1:23" x14ac:dyDescent="0.25">
      <c r="A7" s="3">
        <v>6</v>
      </c>
      <c r="B7" s="3" t="s">
        <v>82</v>
      </c>
      <c r="C7" s="3" t="s">
        <v>24</v>
      </c>
      <c r="D7" s="3" t="s">
        <v>83</v>
      </c>
      <c r="E7" s="3" t="s">
        <v>26</v>
      </c>
      <c r="F7" s="3" t="s">
        <v>84</v>
      </c>
      <c r="G7" s="3" t="s">
        <v>28</v>
      </c>
      <c r="H7" s="3" t="s">
        <v>29</v>
      </c>
      <c r="I7" s="4">
        <v>45537</v>
      </c>
      <c r="J7" s="4">
        <v>45627</v>
      </c>
      <c r="K7" s="3" t="str">
        <f ca="1">IF(J7&gt;TODAY(),J7-TODAY(),"Past due")</f>
        <v>Past due</v>
      </c>
      <c r="L7" s="3"/>
      <c r="M7" s="3" t="s">
        <v>85</v>
      </c>
      <c r="N7" s="3"/>
      <c r="O7" s="3" t="s">
        <v>86</v>
      </c>
      <c r="P7" s="3" t="s">
        <v>87</v>
      </c>
      <c r="Q7" s="3" t="s">
        <v>88</v>
      </c>
      <c r="R7" s="3" t="s">
        <v>34</v>
      </c>
      <c r="S7" s="3" t="s">
        <v>89</v>
      </c>
      <c r="T7" s="3" t="s">
        <v>36</v>
      </c>
      <c r="U7" s="3"/>
      <c r="V7" s="3"/>
      <c r="W7" s="3" t="s">
        <v>90</v>
      </c>
    </row>
    <row r="8" spans="1:23" x14ac:dyDescent="0.25">
      <c r="A8" s="3">
        <v>7</v>
      </c>
      <c r="B8" s="3" t="s">
        <v>91</v>
      </c>
      <c r="C8" s="3" t="s">
        <v>24</v>
      </c>
      <c r="D8" s="3" t="s">
        <v>92</v>
      </c>
      <c r="E8" s="3" t="s">
        <v>26</v>
      </c>
      <c r="F8" s="3" t="s">
        <v>27</v>
      </c>
      <c r="G8" s="3" t="s">
        <v>28</v>
      </c>
      <c r="H8" s="3" t="s">
        <v>29</v>
      </c>
      <c r="I8" s="4">
        <v>45444</v>
      </c>
      <c r="J8" s="4">
        <v>45566</v>
      </c>
      <c r="K8" s="3" t="str">
        <f ca="1">IF(J8&gt;TODAY(),J8-TODAY(),"Past due")</f>
        <v>Past due</v>
      </c>
      <c r="L8" s="3"/>
      <c r="M8" s="3" t="s">
        <v>93</v>
      </c>
      <c r="N8" s="3"/>
      <c r="O8" s="3" t="s">
        <v>94</v>
      </c>
      <c r="P8" s="3" t="s">
        <v>95</v>
      </c>
      <c r="Q8" s="3" t="s">
        <v>96</v>
      </c>
      <c r="R8" s="3" t="s">
        <v>34</v>
      </c>
      <c r="S8" s="3" t="s">
        <v>97</v>
      </c>
      <c r="T8" s="3" t="s">
        <v>58</v>
      </c>
      <c r="U8" s="3"/>
      <c r="V8" s="3"/>
      <c r="W8" s="3" t="s">
        <v>98</v>
      </c>
    </row>
    <row r="9" spans="1:23" x14ac:dyDescent="0.25">
      <c r="A9" s="3">
        <v>8</v>
      </c>
      <c r="B9" s="3" t="s">
        <v>99</v>
      </c>
      <c r="C9" s="3" t="s">
        <v>100</v>
      </c>
      <c r="D9" s="3" t="s">
        <v>101</v>
      </c>
      <c r="E9" s="3" t="s">
        <v>26</v>
      </c>
      <c r="F9" s="3" t="s">
        <v>27</v>
      </c>
      <c r="G9" s="3" t="s">
        <v>102</v>
      </c>
      <c r="H9" s="3" t="s">
        <v>103</v>
      </c>
      <c r="I9" s="4">
        <v>45292</v>
      </c>
      <c r="J9" s="4">
        <v>45382</v>
      </c>
      <c r="K9" s="3" t="str">
        <f ca="1">IF(J9&gt;TODAY(),J9-TODAY(),"Past due")</f>
        <v>Past due</v>
      </c>
      <c r="L9" s="3"/>
      <c r="M9" s="3" t="s">
        <v>104</v>
      </c>
      <c r="N9" s="3"/>
      <c r="O9" s="3" t="s">
        <v>105</v>
      </c>
      <c r="P9" s="3" t="s">
        <v>106</v>
      </c>
      <c r="Q9" s="3" t="s">
        <v>107</v>
      </c>
      <c r="R9" s="3" t="s">
        <v>34</v>
      </c>
      <c r="S9" s="3" t="s">
        <v>108</v>
      </c>
      <c r="T9" s="3" t="s">
        <v>58</v>
      </c>
      <c r="U9" s="3"/>
      <c r="V9" s="3"/>
      <c r="W9" s="3" t="s">
        <v>109</v>
      </c>
    </row>
    <row r="10" spans="1:23" x14ac:dyDescent="0.25">
      <c r="A10" s="3">
        <v>9</v>
      </c>
      <c r="B10" s="3" t="s">
        <v>110</v>
      </c>
      <c r="C10" s="3" t="s">
        <v>111</v>
      </c>
      <c r="D10" s="3" t="s">
        <v>112</v>
      </c>
      <c r="E10" s="3" t="s">
        <v>26</v>
      </c>
      <c r="F10" s="3" t="s">
        <v>84</v>
      </c>
      <c r="G10" s="3" t="s">
        <v>113</v>
      </c>
      <c r="H10" s="3" t="s">
        <v>114</v>
      </c>
      <c r="I10" s="4">
        <v>45505</v>
      </c>
      <c r="J10" s="4">
        <v>45597</v>
      </c>
      <c r="K10" s="3" t="str">
        <f ca="1">IF(J10&gt;TODAY(),J10-TODAY(),"Past due")</f>
        <v>Past due</v>
      </c>
      <c r="L10" s="3"/>
      <c r="M10" s="3" t="s">
        <v>115</v>
      </c>
      <c r="N10" s="3"/>
      <c r="O10" s="3" t="s">
        <v>116</v>
      </c>
      <c r="P10" s="3" t="s">
        <v>117</v>
      </c>
      <c r="Q10" s="3" t="s">
        <v>88</v>
      </c>
      <c r="R10" s="3" t="s">
        <v>34</v>
      </c>
      <c r="S10" s="3" t="s">
        <v>118</v>
      </c>
      <c r="T10" s="3" t="s">
        <v>48</v>
      </c>
      <c r="U10" s="3"/>
      <c r="V10" s="3"/>
      <c r="W10" s="3" t="s">
        <v>119</v>
      </c>
    </row>
    <row r="11" spans="1:23" x14ac:dyDescent="0.25">
      <c r="A11" s="3">
        <v>10</v>
      </c>
      <c r="B11" s="3" t="s">
        <v>120</v>
      </c>
      <c r="C11" s="3" t="s">
        <v>121</v>
      </c>
      <c r="D11" s="3" t="s">
        <v>122</v>
      </c>
      <c r="E11" s="3" t="s">
        <v>26</v>
      </c>
      <c r="F11" s="3" t="s">
        <v>27</v>
      </c>
      <c r="G11" s="3" t="s">
        <v>123</v>
      </c>
      <c r="H11" s="3" t="s">
        <v>124</v>
      </c>
      <c r="I11" s="4">
        <v>45505</v>
      </c>
      <c r="J11" s="4">
        <v>45626</v>
      </c>
      <c r="K11" s="3" t="str">
        <f ca="1">IF(J11&gt;TODAY(),J11-TODAY(),"Past due")</f>
        <v>Past due</v>
      </c>
      <c r="L11" s="3"/>
      <c r="M11" s="3" t="s">
        <v>125</v>
      </c>
      <c r="N11" s="3"/>
      <c r="O11" s="3" t="s">
        <v>126</v>
      </c>
      <c r="P11" s="3" t="s">
        <v>127</v>
      </c>
      <c r="Q11" s="3" t="s">
        <v>88</v>
      </c>
      <c r="R11" s="3" t="s">
        <v>34</v>
      </c>
      <c r="S11" s="3" t="s">
        <v>128</v>
      </c>
      <c r="T11" s="3" t="s">
        <v>36</v>
      </c>
      <c r="U11" s="3"/>
      <c r="V11" s="3"/>
      <c r="W11" s="3" t="s">
        <v>129</v>
      </c>
    </row>
    <row r="12" spans="1:23" x14ac:dyDescent="0.25">
      <c r="A12" s="3">
        <v>11</v>
      </c>
      <c r="B12" s="3" t="s">
        <v>130</v>
      </c>
      <c r="C12" s="3" t="s">
        <v>131</v>
      </c>
      <c r="D12" s="3" t="s">
        <v>132</v>
      </c>
      <c r="E12" s="3" t="s">
        <v>26</v>
      </c>
      <c r="F12" s="3" t="s">
        <v>27</v>
      </c>
      <c r="G12" s="3" t="s">
        <v>133</v>
      </c>
      <c r="H12" s="3" t="s">
        <v>134</v>
      </c>
      <c r="I12" s="4">
        <v>45383</v>
      </c>
      <c r="J12" s="4">
        <v>45473</v>
      </c>
      <c r="K12" s="3" t="str">
        <f ca="1">IF(J12&gt;TODAY(),J12-TODAY(),"Past due")</f>
        <v>Past due</v>
      </c>
      <c r="L12" s="3"/>
      <c r="M12" s="3" t="s">
        <v>135</v>
      </c>
      <c r="N12" s="3"/>
      <c r="O12" s="3" t="s">
        <v>136</v>
      </c>
      <c r="P12" s="3" t="s">
        <v>106</v>
      </c>
      <c r="Q12" s="3" t="s">
        <v>137</v>
      </c>
      <c r="R12" s="3" t="s">
        <v>34</v>
      </c>
      <c r="S12" s="3" t="s">
        <v>138</v>
      </c>
      <c r="T12" s="3" t="s">
        <v>58</v>
      </c>
      <c r="U12" s="3"/>
      <c r="V12" s="3"/>
      <c r="W12" s="3" t="s">
        <v>139</v>
      </c>
    </row>
    <row r="13" spans="1:23" x14ac:dyDescent="0.25">
      <c r="A13" s="3">
        <v>12</v>
      </c>
      <c r="B13" s="3" t="s">
        <v>140</v>
      </c>
      <c r="C13" s="3" t="s">
        <v>141</v>
      </c>
      <c r="D13" s="3" t="s">
        <v>142</v>
      </c>
      <c r="E13" s="3" t="s">
        <v>26</v>
      </c>
      <c r="F13" s="3" t="s">
        <v>27</v>
      </c>
      <c r="G13" s="3" t="s">
        <v>143</v>
      </c>
      <c r="H13" s="3" t="s">
        <v>144</v>
      </c>
      <c r="I13" s="4">
        <v>45323</v>
      </c>
      <c r="J13" s="4">
        <v>45382</v>
      </c>
      <c r="K13" s="3" t="str">
        <f ca="1">IF(J13&gt;TODAY(),J13-TODAY(),"Past due")</f>
        <v>Past due</v>
      </c>
      <c r="L13" s="3"/>
      <c r="M13" s="3" t="s">
        <v>145</v>
      </c>
      <c r="N13" s="3"/>
      <c r="O13" s="3" t="s">
        <v>146</v>
      </c>
      <c r="P13" s="3" t="s">
        <v>147</v>
      </c>
      <c r="Q13" s="3" t="s">
        <v>107</v>
      </c>
      <c r="R13" s="3" t="s">
        <v>34</v>
      </c>
      <c r="S13" s="3" t="s">
        <v>148</v>
      </c>
      <c r="T13" s="3" t="s">
        <v>58</v>
      </c>
      <c r="U13" s="3"/>
      <c r="V13" s="3"/>
      <c r="W13" s="3" t="s">
        <v>149</v>
      </c>
    </row>
    <row r="14" spans="1:23" x14ac:dyDescent="0.25">
      <c r="A14" s="3">
        <v>13</v>
      </c>
      <c r="B14" s="3" t="s">
        <v>150</v>
      </c>
      <c r="C14" s="3" t="s">
        <v>151</v>
      </c>
      <c r="D14" s="3" t="s">
        <v>152</v>
      </c>
      <c r="E14" s="3" t="s">
        <v>153</v>
      </c>
      <c r="F14" s="3" t="s">
        <v>27</v>
      </c>
      <c r="G14" s="3" t="s">
        <v>154</v>
      </c>
      <c r="H14" s="3" t="s">
        <v>64</v>
      </c>
      <c r="I14" s="4">
        <v>45566</v>
      </c>
      <c r="J14" s="4">
        <v>45665</v>
      </c>
      <c r="K14" s="3" t="str">
        <f ca="1">IF(J14&gt;TODAY(),J14-TODAY(),"Past due")</f>
        <v>Past due</v>
      </c>
      <c r="L14" s="3"/>
      <c r="M14" s="3" t="s">
        <v>155</v>
      </c>
      <c r="N14" s="3"/>
      <c r="O14" s="3" t="s">
        <v>156</v>
      </c>
      <c r="P14" s="3" t="s">
        <v>127</v>
      </c>
      <c r="Q14" s="3" t="s">
        <v>157</v>
      </c>
      <c r="R14" s="3" t="s">
        <v>34</v>
      </c>
      <c r="S14" s="3" t="s">
        <v>80</v>
      </c>
      <c r="T14" s="3" t="s">
        <v>48</v>
      </c>
      <c r="U14" s="3"/>
      <c r="V14" s="3"/>
      <c r="W14" s="3" t="s">
        <v>158</v>
      </c>
    </row>
    <row r="15" spans="1:23" x14ac:dyDescent="0.25">
      <c r="A15" s="3">
        <v>14</v>
      </c>
      <c r="B15" s="3" t="s">
        <v>159</v>
      </c>
      <c r="C15" s="3" t="s">
        <v>160</v>
      </c>
      <c r="D15" s="3" t="s">
        <v>161</v>
      </c>
      <c r="E15" s="3" t="s">
        <v>26</v>
      </c>
      <c r="F15" s="3" t="s">
        <v>27</v>
      </c>
      <c r="G15" s="3" t="s">
        <v>143</v>
      </c>
      <c r="H15" s="3" t="s">
        <v>162</v>
      </c>
      <c r="I15" s="4">
        <v>45627</v>
      </c>
      <c r="J15" s="4">
        <v>45689</v>
      </c>
      <c r="K15" s="3" t="str">
        <f ca="1">IF(J15&gt;TODAY(),J15-TODAY(),"Past due")</f>
        <v>Past due</v>
      </c>
      <c r="L15" s="3"/>
      <c r="M15" s="3" t="s">
        <v>163</v>
      </c>
      <c r="N15" s="3"/>
      <c r="O15" s="3" t="s">
        <v>94</v>
      </c>
      <c r="P15" s="3" t="s">
        <v>78</v>
      </c>
      <c r="Q15" s="3" t="s">
        <v>164</v>
      </c>
      <c r="R15" s="3" t="s">
        <v>34</v>
      </c>
      <c r="S15" s="3" t="s">
        <v>80</v>
      </c>
      <c r="T15" s="3" t="s">
        <v>48</v>
      </c>
      <c r="U15" s="3"/>
      <c r="V15" s="3"/>
      <c r="W15" s="3" t="s">
        <v>165</v>
      </c>
    </row>
    <row r="16" spans="1:23" x14ac:dyDescent="0.25">
      <c r="A16" s="3">
        <v>15</v>
      </c>
      <c r="B16" s="3" t="s">
        <v>166</v>
      </c>
      <c r="C16" s="3" t="s">
        <v>24</v>
      </c>
      <c r="D16" s="3" t="s">
        <v>167</v>
      </c>
      <c r="E16" s="3" t="s">
        <v>26</v>
      </c>
      <c r="F16" s="3" t="s">
        <v>84</v>
      </c>
      <c r="G16" s="3" t="s">
        <v>168</v>
      </c>
      <c r="H16" s="3" t="s">
        <v>29</v>
      </c>
      <c r="I16" s="4">
        <v>45505</v>
      </c>
      <c r="J16" s="4">
        <v>45640</v>
      </c>
      <c r="K16" s="3" t="str">
        <f ca="1">IF(J16&gt;TODAY(),J16-TODAY(),"Past due")</f>
        <v>Past due</v>
      </c>
      <c r="L16" s="3"/>
      <c r="M16" s="3" t="s">
        <v>169</v>
      </c>
      <c r="N16" s="3"/>
      <c r="O16" s="3" t="s">
        <v>31</v>
      </c>
      <c r="P16" s="3" t="s">
        <v>170</v>
      </c>
      <c r="Q16" s="3" t="s">
        <v>88</v>
      </c>
      <c r="R16" s="3" t="s">
        <v>34</v>
      </c>
      <c r="S16" s="3" t="s">
        <v>171</v>
      </c>
      <c r="T16" s="3" t="s">
        <v>36</v>
      </c>
      <c r="U16" s="3"/>
      <c r="V16" s="3"/>
      <c r="W16" s="3" t="s">
        <v>172</v>
      </c>
    </row>
    <row r="17" spans="1:23" x14ac:dyDescent="0.25">
      <c r="A17" s="3">
        <v>16</v>
      </c>
      <c r="B17" s="3" t="s">
        <v>173</v>
      </c>
      <c r="C17" s="3" t="s">
        <v>39</v>
      </c>
      <c r="D17" s="3" t="s">
        <v>174</v>
      </c>
      <c r="E17" s="3" t="s">
        <v>175</v>
      </c>
      <c r="F17" s="3" t="s">
        <v>27</v>
      </c>
      <c r="G17" s="3" t="s">
        <v>168</v>
      </c>
      <c r="H17" s="3" t="s">
        <v>42</v>
      </c>
      <c r="I17" s="4">
        <v>45292</v>
      </c>
      <c r="J17" s="4">
        <v>45382</v>
      </c>
      <c r="K17" s="3" t="str">
        <f ca="1">IF(J17&gt;TODAY(),J17-TODAY(),"Past due")</f>
        <v>Past due</v>
      </c>
      <c r="L17" s="3"/>
      <c r="M17" s="3" t="s">
        <v>176</v>
      </c>
      <c r="N17" s="3"/>
      <c r="O17" s="3" t="s">
        <v>94</v>
      </c>
      <c r="P17" s="3" t="s">
        <v>106</v>
      </c>
      <c r="Q17" s="3" t="s">
        <v>96</v>
      </c>
      <c r="R17" s="3" t="s">
        <v>34</v>
      </c>
      <c r="S17" s="3" t="s">
        <v>177</v>
      </c>
      <c r="T17" s="3" t="s">
        <v>58</v>
      </c>
      <c r="U17" s="3"/>
      <c r="V17" s="3"/>
      <c r="W17" s="3" t="s">
        <v>178</v>
      </c>
    </row>
    <row r="18" spans="1:23" x14ac:dyDescent="0.25">
      <c r="A18" s="3">
        <v>17</v>
      </c>
      <c r="B18" s="3" t="s">
        <v>179</v>
      </c>
      <c r="C18" s="3" t="s">
        <v>100</v>
      </c>
      <c r="D18" s="3" t="s">
        <v>180</v>
      </c>
      <c r="E18" s="3" t="s">
        <v>26</v>
      </c>
      <c r="F18" s="3" t="s">
        <v>27</v>
      </c>
      <c r="G18" s="3" t="s">
        <v>168</v>
      </c>
      <c r="H18" s="3" t="s">
        <v>42</v>
      </c>
      <c r="I18" s="4">
        <v>45383</v>
      </c>
      <c r="J18" s="4">
        <v>45550</v>
      </c>
      <c r="K18" s="3" t="str">
        <f ca="1">IF(J18&gt;TODAY(),J18-TODAY(),"Past due")</f>
        <v>Past due</v>
      </c>
      <c r="L18" s="3"/>
      <c r="M18" s="3" t="s">
        <v>181</v>
      </c>
      <c r="N18" s="3"/>
      <c r="O18" s="3" t="s">
        <v>94</v>
      </c>
      <c r="P18" s="3" t="s">
        <v>95</v>
      </c>
      <c r="Q18" s="3" t="s">
        <v>182</v>
      </c>
      <c r="R18" s="3" t="s">
        <v>34</v>
      </c>
      <c r="S18" s="3" t="s">
        <v>183</v>
      </c>
      <c r="T18" s="3" t="s">
        <v>58</v>
      </c>
      <c r="U18" s="3"/>
      <c r="V18" s="3"/>
      <c r="W18" s="3" t="s">
        <v>184</v>
      </c>
    </row>
    <row r="19" spans="1:23" x14ac:dyDescent="0.25">
      <c r="A19" s="3">
        <v>18</v>
      </c>
      <c r="B19" s="3" t="s">
        <v>185</v>
      </c>
      <c r="C19" s="3" t="s">
        <v>74</v>
      </c>
      <c r="D19" s="3" t="s">
        <v>186</v>
      </c>
      <c r="E19" s="3" t="s">
        <v>187</v>
      </c>
      <c r="F19" s="3" t="s">
        <v>27</v>
      </c>
      <c r="G19" s="3" t="s">
        <v>168</v>
      </c>
      <c r="H19" s="3" t="s">
        <v>42</v>
      </c>
      <c r="I19" s="4">
        <v>45323</v>
      </c>
      <c r="J19" s="4">
        <v>45427</v>
      </c>
      <c r="K19" s="3" t="str">
        <f ca="1">IF(J19&gt;TODAY(),J19-TODAY(),"Past due")</f>
        <v>Past due</v>
      </c>
      <c r="L19" s="3"/>
      <c r="M19" s="3" t="s">
        <v>188</v>
      </c>
      <c r="N19" s="3"/>
      <c r="O19" s="3" t="s">
        <v>94</v>
      </c>
      <c r="P19" s="3" t="s">
        <v>189</v>
      </c>
      <c r="Q19" s="3" t="s">
        <v>182</v>
      </c>
      <c r="R19" s="3" t="s">
        <v>34</v>
      </c>
      <c r="S19" s="3" t="s">
        <v>190</v>
      </c>
      <c r="T19" s="3" t="s">
        <v>58</v>
      </c>
      <c r="U19" s="3"/>
      <c r="V19" s="3"/>
      <c r="W19" s="3" t="s">
        <v>191</v>
      </c>
    </row>
    <row r="20" spans="1:23" x14ac:dyDescent="0.25">
      <c r="A20" s="3">
        <v>19</v>
      </c>
      <c r="B20" s="3" t="s">
        <v>192</v>
      </c>
      <c r="C20" s="3" t="s">
        <v>39</v>
      </c>
      <c r="D20" s="3" t="s">
        <v>193</v>
      </c>
      <c r="E20" s="3" t="s">
        <v>74</v>
      </c>
      <c r="F20" s="3" t="s">
        <v>194</v>
      </c>
      <c r="G20" s="5">
        <v>50000</v>
      </c>
      <c r="H20" s="3" t="s">
        <v>42</v>
      </c>
      <c r="I20" s="4">
        <v>45383</v>
      </c>
      <c r="J20" s="4">
        <v>45566</v>
      </c>
      <c r="K20" s="3" t="str">
        <f ca="1">IF(J20&gt;TODAY(),J20-TODAY(),"Past due")</f>
        <v>Past due</v>
      </c>
      <c r="L20" s="3"/>
      <c r="M20" s="3" t="s">
        <v>195</v>
      </c>
      <c r="N20" s="3"/>
      <c r="O20" s="3" t="s">
        <v>94</v>
      </c>
      <c r="P20" s="3" t="s">
        <v>196</v>
      </c>
      <c r="Q20" s="3" t="s">
        <v>197</v>
      </c>
      <c r="R20" s="3" t="s">
        <v>34</v>
      </c>
      <c r="S20" s="3" t="s">
        <v>198</v>
      </c>
      <c r="T20" s="3" t="s">
        <v>58</v>
      </c>
      <c r="U20" s="3"/>
      <c r="V20" s="3"/>
      <c r="W20" s="3" t="s">
        <v>199</v>
      </c>
    </row>
  </sheetData>
  <dataValidations count="3">
    <dataValidation type="list" allowBlank="1" showInputMessage="1" showErrorMessage="1" sqref="F1:F1048576" xr:uid="{11822F41-537D-472D-B2B6-9F61C797E0F2}">
      <formula1>"Bachelor's,Master's,PhD,Research,Postdoc,Fellowship"</formula1>
    </dataValidation>
    <dataValidation type="list" allowBlank="1" showInputMessage="1" showErrorMessage="1" sqref="H1:H1048576" xr:uid="{4222E498-9C00-4826-8D6C-35AB9C01FFF6}">
      <formula1>"USD,GBP,EUR,CAD,AUD,JPY,CHF,SEK,NOK,CNY,KRW"</formula1>
    </dataValidation>
    <dataValidation type="list" allowBlank="1" showInputMessage="1" showErrorMessage="1" sqref="T1:T1048576" xr:uid="{70B6C337-8F84-4773-BAC5-A1F0A65F9515}">
      <formula1>"Not Started,In Progress,Submitted,Under Review,Rejected,Awarded"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9ECA-0EE4-4094-B63C-77F807BCA905}">
  <sheetPr codeName="Sheet14"/>
  <dimension ref="A1:M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42578125" bestFit="1" customWidth="1"/>
    <col min="2" max="2" width="26.42578125" bestFit="1" customWidth="1"/>
    <col min="3" max="3" width="22.7109375" bestFit="1" customWidth="1"/>
    <col min="4" max="4" width="21.7109375" bestFit="1" customWidth="1"/>
    <col min="5" max="5" width="20.85546875" bestFit="1" customWidth="1"/>
    <col min="6" max="6" width="29" bestFit="1" customWidth="1"/>
    <col min="7" max="7" width="19.7109375" bestFit="1" customWidth="1"/>
    <col min="8" max="8" width="23.85546875" bestFit="1" customWidth="1"/>
    <col min="9" max="9" width="23.7109375" bestFit="1" customWidth="1"/>
    <col min="10" max="10" width="42.7109375" bestFit="1" customWidth="1"/>
    <col min="11" max="11" width="15.85546875" bestFit="1" customWidth="1"/>
    <col min="12" max="12" width="17.85546875" bestFit="1" customWidth="1"/>
    <col min="13" max="13" width="37.140625" bestFit="1" customWidth="1"/>
  </cols>
  <sheetData>
    <row r="1" spans="1:13" s="1" customFormat="1" x14ac:dyDescent="0.25">
      <c r="A1" s="2" t="s">
        <v>2</v>
      </c>
      <c r="B1" s="2" t="s">
        <v>200</v>
      </c>
      <c r="C1" s="2" t="s">
        <v>14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22</v>
      </c>
    </row>
    <row r="2" spans="1:13" x14ac:dyDescent="0.25">
      <c r="A2" s="3" t="s">
        <v>24</v>
      </c>
      <c r="B2" s="3" t="s">
        <v>210</v>
      </c>
      <c r="C2" s="3" t="s">
        <v>211</v>
      </c>
      <c r="D2" s="3" t="s">
        <v>212</v>
      </c>
      <c r="E2" s="3" t="s">
        <v>213</v>
      </c>
      <c r="F2" s="3" t="s">
        <v>214</v>
      </c>
      <c r="G2" s="3" t="s">
        <v>215</v>
      </c>
      <c r="H2" s="3" t="s">
        <v>216</v>
      </c>
      <c r="I2" s="3" t="s">
        <v>217</v>
      </c>
      <c r="J2" s="3" t="s">
        <v>218</v>
      </c>
      <c r="K2" s="3" t="s">
        <v>219</v>
      </c>
      <c r="L2" s="3">
        <v>8</v>
      </c>
      <c r="M2" s="3" t="s">
        <v>220</v>
      </c>
    </row>
    <row r="3" spans="1:13" x14ac:dyDescent="0.25">
      <c r="A3" s="3" t="s">
        <v>39</v>
      </c>
      <c r="B3" s="3" t="s">
        <v>221</v>
      </c>
      <c r="C3" s="3" t="s">
        <v>222</v>
      </c>
      <c r="D3" s="3" t="s">
        <v>223</v>
      </c>
      <c r="E3" s="3" t="s">
        <v>223</v>
      </c>
      <c r="F3" s="3" t="s">
        <v>224</v>
      </c>
      <c r="G3" s="3" t="s">
        <v>225</v>
      </c>
      <c r="H3" s="3" t="s">
        <v>216</v>
      </c>
      <c r="I3" s="3" t="s">
        <v>226</v>
      </c>
      <c r="J3" s="3" t="s">
        <v>227</v>
      </c>
      <c r="K3" s="3" t="s">
        <v>228</v>
      </c>
      <c r="L3" s="3">
        <v>7</v>
      </c>
      <c r="M3" s="3" t="s">
        <v>229</v>
      </c>
    </row>
    <row r="4" spans="1:13" x14ac:dyDescent="0.25">
      <c r="A4" s="3" t="s">
        <v>61</v>
      </c>
      <c r="B4" s="3" t="s">
        <v>230</v>
      </c>
      <c r="C4" s="3" t="s">
        <v>66</v>
      </c>
      <c r="D4" s="3" t="s">
        <v>231</v>
      </c>
      <c r="E4" s="3" t="s">
        <v>232</v>
      </c>
      <c r="F4" s="3" t="s">
        <v>233</v>
      </c>
      <c r="G4" s="3" t="s">
        <v>234</v>
      </c>
      <c r="H4" s="3" t="s">
        <v>235</v>
      </c>
      <c r="I4" s="3" t="s">
        <v>236</v>
      </c>
      <c r="J4" s="3" t="s">
        <v>237</v>
      </c>
      <c r="K4" s="3" t="s">
        <v>238</v>
      </c>
      <c r="L4" s="3">
        <v>9</v>
      </c>
      <c r="M4" s="3" t="s">
        <v>239</v>
      </c>
    </row>
    <row r="5" spans="1:13" x14ac:dyDescent="0.25">
      <c r="A5" s="3" t="s">
        <v>51</v>
      </c>
      <c r="B5" s="3" t="s">
        <v>240</v>
      </c>
      <c r="C5" s="3" t="s">
        <v>211</v>
      </c>
      <c r="D5" s="3" t="s">
        <v>241</v>
      </c>
      <c r="E5" s="3" t="s">
        <v>242</v>
      </c>
      <c r="F5" s="3" t="s">
        <v>214</v>
      </c>
      <c r="G5" s="3" t="s">
        <v>243</v>
      </c>
      <c r="H5" s="3" t="s">
        <v>244</v>
      </c>
      <c r="I5" s="3" t="s">
        <v>245</v>
      </c>
      <c r="J5" s="3" t="s">
        <v>246</v>
      </c>
      <c r="K5" s="3" t="s">
        <v>247</v>
      </c>
      <c r="L5" s="3">
        <v>8</v>
      </c>
      <c r="M5" s="3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90E3-2168-450C-9525-91807490CFBF}">
  <sheetPr codeName="Sheet15"/>
  <dimension ref="A1:F1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4.28515625" bestFit="1" customWidth="1"/>
    <col min="2" max="2" width="10.42578125" bestFit="1" customWidth="1"/>
    <col min="3" max="3" width="9" bestFit="1" customWidth="1"/>
    <col min="4" max="4" width="6.140625" bestFit="1" customWidth="1"/>
    <col min="5" max="5" width="16.28515625" bestFit="1" customWidth="1"/>
    <col min="6" max="6" width="16" bestFit="1" customWidth="1"/>
  </cols>
  <sheetData>
    <row r="1" spans="1:6" s="1" customFormat="1" x14ac:dyDescent="0.25">
      <c r="A1" s="2" t="s">
        <v>249</v>
      </c>
      <c r="B1" s="2" t="s">
        <v>250</v>
      </c>
      <c r="C1" s="2" t="s">
        <v>251</v>
      </c>
      <c r="D1" s="2" t="s">
        <v>252</v>
      </c>
      <c r="E1" s="2" t="s">
        <v>253</v>
      </c>
      <c r="F1" s="2" t="s">
        <v>254</v>
      </c>
    </row>
    <row r="2" spans="1:6" x14ac:dyDescent="0.25">
      <c r="A2" s="3" t="s">
        <v>255</v>
      </c>
      <c r="B2" s="3"/>
      <c r="C2" s="3"/>
      <c r="D2" s="3"/>
      <c r="E2" s="3"/>
      <c r="F2" s="3"/>
    </row>
    <row r="3" spans="1:6" x14ac:dyDescent="0.25">
      <c r="A3" s="3" t="s">
        <v>256</v>
      </c>
      <c r="B3" s="3"/>
      <c r="C3" s="3"/>
      <c r="D3" s="3"/>
      <c r="E3" s="3"/>
      <c r="F3" s="3"/>
    </row>
    <row r="4" spans="1:6" x14ac:dyDescent="0.25">
      <c r="A4" s="3" t="s">
        <v>257</v>
      </c>
      <c r="B4" s="3"/>
      <c r="C4" s="3"/>
      <c r="D4" s="3"/>
      <c r="E4" s="3"/>
      <c r="F4" s="3"/>
    </row>
    <row r="5" spans="1:6" x14ac:dyDescent="0.25">
      <c r="A5" s="3" t="s">
        <v>258</v>
      </c>
      <c r="B5" s="3"/>
      <c r="C5" s="3"/>
      <c r="D5" s="3"/>
      <c r="E5" s="3"/>
      <c r="F5" s="3"/>
    </row>
    <row r="6" spans="1:6" x14ac:dyDescent="0.25">
      <c r="A6" s="3" t="s">
        <v>259</v>
      </c>
      <c r="B6" s="3"/>
      <c r="C6" s="3"/>
      <c r="D6" s="3"/>
      <c r="E6" s="3"/>
      <c r="F6" s="3"/>
    </row>
    <row r="7" spans="1:6" x14ac:dyDescent="0.25">
      <c r="A7" s="3" t="s">
        <v>260</v>
      </c>
      <c r="B7" s="3"/>
      <c r="C7" s="3"/>
      <c r="D7" s="3"/>
      <c r="E7" s="3"/>
      <c r="F7" s="3"/>
    </row>
    <row r="8" spans="1:6" x14ac:dyDescent="0.25">
      <c r="A8" s="3" t="s">
        <v>261</v>
      </c>
      <c r="B8" s="3"/>
      <c r="C8" s="3"/>
      <c r="D8" s="3"/>
      <c r="E8" s="3"/>
      <c r="F8" s="3"/>
    </row>
    <row r="9" spans="1:6" x14ac:dyDescent="0.25">
      <c r="A9" s="3" t="s">
        <v>262</v>
      </c>
      <c r="B9" s="3"/>
      <c r="C9" s="3"/>
      <c r="D9" s="3"/>
      <c r="E9" s="3"/>
      <c r="F9" s="3"/>
    </row>
    <row r="10" spans="1:6" x14ac:dyDescent="0.25">
      <c r="A10" s="3" t="s">
        <v>263</v>
      </c>
      <c r="B10" s="3"/>
      <c r="C10" s="3"/>
      <c r="D10" s="3"/>
      <c r="E10" s="3"/>
      <c r="F10" s="3"/>
    </row>
    <row r="11" spans="1:6" x14ac:dyDescent="0.25">
      <c r="A11" s="3" t="s">
        <v>264</v>
      </c>
      <c r="B11" s="3"/>
      <c r="C11" s="3"/>
      <c r="D11" s="3"/>
      <c r="E11" s="3"/>
      <c r="F11" s="3"/>
    </row>
  </sheetData>
  <dataValidations count="1">
    <dataValidation type="list" allowBlank="1" showInputMessage="1" showErrorMessage="1" sqref="B2 C2 D2 E2 F2 B3 C3 D3 E3 F3 B4 C4 D4 E4 F4 B5 C5 D5 E5 F5 B6 C6 D6 E6 F6 B7 C7 D7 E7 F7 B8 C8 D8 E8 F8 B9 C9 D9 E9 F9 B10 C10 D10 E10 F10 B11 C11 D11 E11 F11" xr:uid="{C508B8F9-8DB8-42AF-BD75-8A5DBC8E5288}">
      <formula1>"Not Required,Needed,In Progress,Complete"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8116-7A5C-4DD4-897D-7F29C08BB491}">
  <sheetPr codeName="Sheet16"/>
  <dimension ref="A1:J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" bestFit="1" customWidth="1"/>
    <col min="2" max="2" width="22.85546875" bestFit="1" customWidth="1"/>
    <col min="3" max="3" width="16.85546875" bestFit="1" customWidth="1"/>
    <col min="4" max="4" width="21.5703125" bestFit="1" customWidth="1"/>
    <col min="5" max="5" width="15.28515625" bestFit="1" customWidth="1"/>
    <col min="6" max="6" width="14.85546875" bestFit="1" customWidth="1"/>
    <col min="7" max="7" width="14.140625" bestFit="1" customWidth="1"/>
    <col min="8" max="8" width="26.140625" bestFit="1" customWidth="1"/>
    <col min="9" max="9" width="10.7109375" bestFit="1" customWidth="1"/>
    <col min="10" max="10" width="6.28515625" bestFit="1" customWidth="1"/>
  </cols>
  <sheetData>
    <row r="1" spans="1:10" s="1" customFormat="1" x14ac:dyDescent="0.25">
      <c r="A1" s="2" t="s">
        <v>265</v>
      </c>
      <c r="B1" s="2" t="s">
        <v>266</v>
      </c>
      <c r="C1" s="2" t="s">
        <v>267</v>
      </c>
      <c r="D1" s="2" t="s">
        <v>268</v>
      </c>
      <c r="E1" s="2" t="s">
        <v>269</v>
      </c>
      <c r="F1" s="2" t="s">
        <v>270</v>
      </c>
      <c r="G1" s="2" t="s">
        <v>271</v>
      </c>
      <c r="H1" s="2" t="s">
        <v>272</v>
      </c>
      <c r="I1" s="2" t="s">
        <v>273</v>
      </c>
      <c r="J1" s="2" t="s">
        <v>22</v>
      </c>
    </row>
    <row r="2" spans="1:10" x14ac:dyDescent="0.25">
      <c r="A2" s="3" t="s">
        <v>274</v>
      </c>
      <c r="B2" s="3" t="s">
        <v>275</v>
      </c>
      <c r="C2" s="3" t="s">
        <v>276</v>
      </c>
      <c r="D2" s="3" t="s">
        <v>277</v>
      </c>
      <c r="E2" s="6">
        <v>45811</v>
      </c>
      <c r="F2" s="6">
        <v>45841</v>
      </c>
      <c r="G2" s="3">
        <f ca="1">IF(F2&gt;TODAY(),F2-TODAY(),"Past due")</f>
        <v>20</v>
      </c>
      <c r="H2" s="3" t="s">
        <v>278</v>
      </c>
      <c r="I2" s="3" t="s">
        <v>36</v>
      </c>
      <c r="J2" s="3"/>
    </row>
    <row r="3" spans="1:10" x14ac:dyDescent="0.25">
      <c r="A3" s="3" t="s">
        <v>279</v>
      </c>
      <c r="B3" s="3" t="s">
        <v>280</v>
      </c>
      <c r="C3" s="3" t="s">
        <v>281</v>
      </c>
      <c r="D3" s="3" t="s">
        <v>282</v>
      </c>
      <c r="E3" s="6">
        <v>45806</v>
      </c>
      <c r="F3" s="6">
        <v>45846</v>
      </c>
      <c r="G3" s="3">
        <f ca="1">IF(F3&gt;TODAY(),F3-TODAY(),"Past due")</f>
        <v>25</v>
      </c>
      <c r="H3" s="3" t="s">
        <v>283</v>
      </c>
      <c r="I3" s="3" t="s">
        <v>284</v>
      </c>
      <c r="J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E0B2-E963-41EC-9833-0822B685ACB2}">
  <sheetPr codeName="Sheet17"/>
  <dimension ref="A1:B7"/>
  <sheetViews>
    <sheetView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54.5703125" bestFit="1" customWidth="1"/>
    <col min="2" max="2" width="5.140625" bestFit="1" customWidth="1"/>
  </cols>
  <sheetData>
    <row r="1" spans="1:2" s="1" customFormat="1" ht="21" x14ac:dyDescent="0.35">
      <c r="A1" s="7" t="s">
        <v>285</v>
      </c>
      <c r="B1" s="2"/>
    </row>
    <row r="2" spans="1:2" x14ac:dyDescent="0.25">
      <c r="A2" s="3"/>
      <c r="B2" s="3"/>
    </row>
    <row r="3" spans="1:2" x14ac:dyDescent="0.25">
      <c r="A3" s="8" t="s">
        <v>286</v>
      </c>
      <c r="B3" s="3"/>
    </row>
    <row r="4" spans="1:2" x14ac:dyDescent="0.25">
      <c r="A4" s="3" t="s">
        <v>287</v>
      </c>
      <c r="B4" s="3">
        <f>COUNTA('Main Tracker'!B:B)-1</f>
        <v>19</v>
      </c>
    </row>
    <row r="5" spans="1:2" x14ac:dyDescent="0.25">
      <c r="A5" s="3" t="s">
        <v>288</v>
      </c>
      <c r="B5" s="3">
        <f>COUNTIF('Main Tracker'!T:T,"In Progress")</f>
        <v>5</v>
      </c>
    </row>
    <row r="6" spans="1:2" x14ac:dyDescent="0.25">
      <c r="A6" s="3" t="s">
        <v>289</v>
      </c>
      <c r="B6" s="3">
        <f>COUNTIF('Main Tracker'!T:T,"Submitted")</f>
        <v>0</v>
      </c>
    </row>
    <row r="7" spans="1:2" x14ac:dyDescent="0.25">
      <c r="A7" s="3" t="s">
        <v>290</v>
      </c>
      <c r="B7" s="9">
        <f>IF(B5+B6&gt;0,B6/(B5+B6),0)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Tracker</vt:lpstr>
      <vt:lpstr>Country Comparison</vt:lpstr>
      <vt:lpstr>Document Checklist</vt:lpstr>
      <vt:lpstr>Recommendation Letters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Zubayr Akande</dc:creator>
  <cp:lastModifiedBy>Zubayr Akande</cp:lastModifiedBy>
  <dcterms:created xsi:type="dcterms:W3CDTF">2025-06-13T08:51:24Z</dcterms:created>
  <dcterms:modified xsi:type="dcterms:W3CDTF">2025-06-13T09:10:00Z</dcterms:modified>
</cp:coreProperties>
</file>